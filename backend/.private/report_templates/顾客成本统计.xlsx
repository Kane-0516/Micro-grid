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anskai-work\PyPSA\MicroGrid\"/>
    </mc:Choice>
  </mc:AlternateContent>
  <xr:revisionPtr revIDLastSave="0" documentId="13_ncr:1_{82E81446-7E26-4A04-A252-5D82DFFB4C85}" xr6:coauthVersionLast="47" xr6:coauthVersionMax="47" xr10:uidLastSave="{00000000-0000-0000-0000-000000000000}"/>
  <bookViews>
    <workbookView xWindow="-98" yWindow="-98" windowWidth="23236" windowHeight="13875" firstSheet="1" activeTab="6" xr2:uid="{00000000-000D-0000-FFFF-FFFF00000000}"/>
  </bookViews>
  <sheets>
    <sheet name="01_项目基础信息" sheetId="2" r:id="rId1"/>
    <sheet name="02_CAPEX汇总" sheetId="3" r:id="rId2"/>
    <sheet name="03_光伏系统明细" sheetId="4" r:id="rId3"/>
    <sheet name="04_储能系统明细" sheetId="5" r:id="rId4"/>
    <sheet name="05_柴油机系统明细" sheetId="6" r:id="rId5"/>
    <sheet name="06_电气配套明细" sheetId="7" r:id="rId6"/>
    <sheet name="99_下拉选项" sheetId="14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4" l="1"/>
</calcChain>
</file>

<file path=xl/sharedStrings.xml><?xml version="1.0" encoding="utf-8"?>
<sst xmlns="http://schemas.openxmlformats.org/spreadsheetml/2006/main" count="439" uniqueCount="170">
  <si>
    <t>说明 / Notes</t>
  </si>
  <si>
    <t>项目基础信息（新项目先填） / Project Basic Information (Fill First)</t>
  </si>
  <si>
    <t>项目信息 / Project Information</t>
  </si>
  <si>
    <t>字段 / Field</t>
  </si>
  <si>
    <t>填写值 / Input</t>
  </si>
  <si>
    <t>重要程度 / Priority</t>
  </si>
  <si>
    <t>来源/备注 / Source-Remarks</t>
  </si>
  <si>
    <t>是否确认 / Confirmed</t>
  </si>
  <si>
    <t>项目名称 / Project Name</t>
  </si>
  <si>
    <t>MGS微电网售前方案</t>
    <phoneticPr fontId="2" type="noConversion"/>
  </si>
  <si>
    <t>必填 / Required</t>
  </si>
  <si>
    <t>例如：XX 微电网售前方案 / Example: XX  Microgrid Proposal</t>
    <phoneticPr fontId="2" type="noConversion"/>
  </si>
  <si>
    <t/>
  </si>
  <si>
    <t>否 / No</t>
  </si>
  <si>
    <t>客户/业主 / Client-Owner</t>
  </si>
  <si>
    <t>建议填 / Recommended</t>
  </si>
  <si>
    <t>国家/地区 / Country-Region</t>
    <phoneticPr fontId="2" type="noConversion"/>
  </si>
  <si>
    <t>美国</t>
    <phoneticPr fontId="2" type="noConversion"/>
  </si>
  <si>
    <t>例如：菲律宾 / 印尼 / 沙特 / Example: Philippines / Indonesia / Saudi Arabia</t>
    <phoneticPr fontId="2" type="noConversion"/>
  </si>
  <si>
    <t>具体站点 / Site</t>
    <phoneticPr fontId="2" type="noConversion"/>
  </si>
  <si>
    <t>经纬度/Latitude and longitude</t>
    <phoneticPr fontId="2" type="noConversion"/>
  </si>
  <si>
    <t>报价日期 / Quotation Date</t>
  </si>
  <si>
    <t>项目阶段 / Project Stage</t>
  </si>
  <si>
    <t>售前初算 / Early Estimate</t>
  </si>
  <si>
    <t>系统规模与关键假设 / System Size &amp; Key Assumptions</t>
  </si>
  <si>
    <t>单位 / Unit</t>
  </si>
  <si>
    <t>备注 / Remarks</t>
  </si>
  <si>
    <t>光伏规模 / PV Size</t>
  </si>
  <si>
    <t>kWp</t>
    <phoneticPr fontId="2" type="noConversion"/>
  </si>
  <si>
    <t>储能规模 / BESS Size</t>
  </si>
  <si>
    <t>kWh</t>
    <phoneticPr fontId="2" type="noConversion"/>
  </si>
  <si>
    <t>建议填可用容量 / Enter usable energy if possible</t>
  </si>
  <si>
    <t>柴油机容量 / Diesel Size</t>
  </si>
  <si>
    <t>kW</t>
    <phoneticPr fontId="2" type="noConversion"/>
  </si>
  <si>
    <t>选填 / Optional</t>
  </si>
  <si>
    <t>如有多台机组可填合计 / Enter total if multiple gensets</t>
  </si>
  <si>
    <t>负荷日均用电量 / Daily Energy Demand</t>
  </si>
  <si>
    <t>千瓦时/天 / kWh/day</t>
    <phoneticPr fontId="2" type="noConversion"/>
  </si>
  <si>
    <t>设计年限 / Design Life</t>
  </si>
  <si>
    <t>年 / year</t>
  </si>
  <si>
    <t>用于后续经济性测算 / Used for later economic analysis</t>
  </si>
  <si>
    <t>基准币种 / Base Currency</t>
  </si>
  <si>
    <t>美元 / USD</t>
    <phoneticPr fontId="2" type="noConversion"/>
  </si>
  <si>
    <t>建议统一换算到 USD / Recommended to standardize to USD</t>
  </si>
  <si>
    <t>税费口径说明 / Tax Basis Notes</t>
  </si>
  <si>
    <t>例如：已含税 / 未含税 / Example: tax included / excluded</t>
  </si>
  <si>
    <t>项目备注 / Project Notes</t>
  </si>
  <si>
    <t>CAPEX 汇总（自动引用各明细页） / CAPEX Summary (Auto-Linked from Detail Sheets)</t>
  </si>
  <si>
    <t>序号 / No.</t>
  </si>
  <si>
    <t>成本模块 / Cost Module</t>
  </si>
  <si>
    <t>引用来源 / Source Sheet</t>
  </si>
  <si>
    <t>检查说明 / Review Notes</t>
  </si>
  <si>
    <t>状态 / Status</t>
  </si>
  <si>
    <t>光伏系统 / PV System</t>
  </si>
  <si>
    <t>03_光伏系统明细</t>
  </si>
  <si>
    <t>是否已拆到组件/逆变器/支架 / Check if split to modules, inverters, mounting</t>
  </si>
  <si>
    <t>储能系统 / BESS System</t>
  </si>
  <si>
    <t>04_储能系统明细</t>
  </si>
  <si>
    <t>是否已拆到 PCS/电池包/BMS 等 / Check if split to PCS, battery packs, BMS, etc.</t>
  </si>
  <si>
    <t>柴油机系统 / Diesel System</t>
  </si>
  <si>
    <t>05_柴油机系统明细</t>
  </si>
  <si>
    <t>是否包含 ATS/油箱/排烟 / Check if ATS, tank, exhaust are included</t>
  </si>
  <si>
    <t>电气配套 / Electrical Balance</t>
  </si>
  <si>
    <t>06_电气配套明细</t>
  </si>
  <si>
    <t>是否已拆到 AC/DC 电缆和开关柜 / Check if AC/DC cables and switchgear are split out</t>
  </si>
  <si>
    <t>运输安装其他 / Logistics &amp; Installation</t>
  </si>
  <si>
    <t>07_运输安装其他</t>
  </si>
  <si>
    <t>是否分开了运输/安装/调试 / Check if transport, installation, and commissioning are split</t>
  </si>
  <si>
    <t>CAPEX 总计 / Total CAPEX</t>
  </si>
  <si>
    <t>来自五个 CAPEX 明细页 / From the five CAPEX detail sheets</t>
  </si>
  <si>
    <t>否 / No</t>
    <phoneticPr fontId="2" type="noConversion"/>
  </si>
  <si>
    <t>光伏系统明细 / PV System Details</t>
  </si>
  <si>
    <t>系统分类 / System</t>
  </si>
  <si>
    <t>子类 / Subcategory</t>
  </si>
  <si>
    <t>设备/成本项 / Item</t>
  </si>
  <si>
    <t>品牌 / Brand</t>
  </si>
  <si>
    <t>型号 / Model</t>
  </si>
  <si>
    <t>规格/说明 / Specification-Description</t>
  </si>
  <si>
    <t>数量单位 / Qty Unit</t>
  </si>
  <si>
    <t>数量 / Qty</t>
  </si>
  <si>
    <t>组件 / Module</t>
  </si>
  <si>
    <t>光伏组件 / PV Module</t>
  </si>
  <si>
    <t>正泰/Astronergy</t>
    <phoneticPr fontId="2" type="noConversion"/>
  </si>
  <si>
    <t>ASTRO 6 Twins – CHSM66M(DG)/F-BH</t>
    <phoneticPr fontId="2" type="noConversion"/>
  </si>
  <si>
    <t>Wp</t>
    <phoneticPr fontId="2" type="noConversion"/>
  </si>
  <si>
    <t>美元 / USD</t>
  </si>
  <si>
    <t>第二种型号可另起一行 / Use another row for a second model</t>
  </si>
  <si>
    <t>逆变器 / Inverter</t>
  </si>
  <si>
    <t>组串逆变器 / String Inverter</t>
  </si>
  <si>
    <t>Sol-Ark</t>
    <phoneticPr fontId="2" type="noConversion"/>
  </si>
  <si>
    <t>Sol-Ark 18K 2P-N</t>
    <phoneticPr fontId="2" type="noConversion"/>
  </si>
  <si>
    <t>18kW</t>
    <phoneticPr fontId="2" type="noConversion"/>
  </si>
  <si>
    <t>套 / set</t>
  </si>
  <si>
    <t>是 / Yes</t>
  </si>
  <si>
    <t>汇流箱 / Combine</t>
    <phoneticPr fontId="2" type="noConversion"/>
  </si>
  <si>
    <t>支架 / Mounting</t>
  </si>
  <si>
    <t>光伏支架 / PV Mounting</t>
  </si>
  <si>
    <t>自研/Proprietary equipment</t>
    <phoneticPr fontId="2" type="noConversion"/>
  </si>
  <si>
    <t>连接器/辅材 / Connectors-Auxiliary</t>
  </si>
  <si>
    <t>连接器/MC4 / Connectors-MC4</t>
  </si>
  <si>
    <t>项 / lot</t>
  </si>
  <si>
    <t>直流汇流/线盒 / DC Combiner-Junction Box</t>
  </si>
  <si>
    <t>其他光伏辅材 / Other PV Auxiliary</t>
  </si>
  <si>
    <t>储能系统明细 / BESS System Details</t>
  </si>
  <si>
    <t>储能系统 / BESS System</t>
    <phoneticPr fontId="2" type="noConversion"/>
  </si>
  <si>
    <t>PCS / PCS</t>
  </si>
  <si>
    <t>储能变流器 PCS / PCS</t>
  </si>
  <si>
    <t>如：250kW/500kW / e.g. 250kW/500kW</t>
    <phoneticPr fontId="2" type="noConversion"/>
  </si>
  <si>
    <t>电池包 / Battery Pack</t>
  </si>
  <si>
    <t>电池包/模组 / Battery Pack-Module</t>
  </si>
  <si>
    <t>Discover Energy Systems</t>
    <phoneticPr fontId="2" type="noConversion"/>
  </si>
  <si>
    <t>HELIOS ESS 52-48-16000</t>
    <phoneticPr fontId="2" type="noConversion"/>
  </si>
  <si>
    <t>16.08 kWh</t>
    <phoneticPr fontId="2" type="noConversion"/>
  </si>
  <si>
    <t>pack</t>
  </si>
  <si>
    <t>光储一体化托盘/PV-ESS Integrated Pallet</t>
  </si>
  <si>
    <t>一体化托盘/Integrated pallet</t>
    <phoneticPr fontId="2" type="noConversion"/>
  </si>
  <si>
    <t>电池柜/集装箱 / Battery Cabinet-Container</t>
  </si>
  <si>
    <t>电池柜/电池簇 / Battery Cabinet-String</t>
    <phoneticPr fontId="2" type="noConversion"/>
  </si>
  <si>
    <t>BMS/EMS / BMS-EMS</t>
  </si>
  <si>
    <t>BMS / BMS</t>
  </si>
  <si>
    <t>EMS/能量管理 / EMS-Energy Management</t>
  </si>
  <si>
    <t>HVAC/消防 / HVAC-Fire</t>
  </si>
  <si>
    <t>空调/HVAC / HVAC</t>
  </si>
  <si>
    <t>消防系统 / Fire Suppression</t>
  </si>
  <si>
    <t>套 / set</t>
    <phoneticPr fontId="2" type="noConversion"/>
  </si>
  <si>
    <t>储能辅材/铜排 / BESS Auxiliary-Busbar</t>
    <phoneticPr fontId="2" type="noConversion"/>
  </si>
  <si>
    <t>柴油机系统明细 / Diesel System Details</t>
  </si>
  <si>
    <t>柴油发电机 / Diesel Generator</t>
  </si>
  <si>
    <t>柴油发电机组 / Diesel Generator Set</t>
  </si>
  <si>
    <t>40kW</t>
    <phoneticPr fontId="2" type="noConversion"/>
  </si>
  <si>
    <t>油箱/ATS / Tank-ATS</t>
  </si>
  <si>
    <t>ATS/并机柜 / ATS-Paralleling Panel</t>
  </si>
  <si>
    <t>日用油箱/底座油箱 / Day Tank-Base Tank</t>
  </si>
  <si>
    <t>排烟/消音系统 / Exhaust-Silencer</t>
  </si>
  <si>
    <t>启动电池/充电器 / Starter Battery-Charger</t>
  </si>
  <si>
    <t>柴油机辅材 / Diesel Auxiliary</t>
  </si>
  <si>
    <t>电气配套明细 / Electrical Balance Details</t>
  </si>
  <si>
    <t>开关柜 / Switchgear</t>
  </si>
  <si>
    <t>低压开关柜/配电柜 / LV Switchboard-Distribution Panel</t>
  </si>
  <si>
    <t>变压器 / Transformer</t>
  </si>
  <si>
    <t>AC电缆 / AC Cable</t>
  </si>
  <si>
    <t>交流电缆 / AC Cable</t>
  </si>
  <si>
    <t>可按回路分行 / Split by feeder if needed</t>
  </si>
  <si>
    <t>米 / m</t>
  </si>
  <si>
    <t>DC电缆 / DC Cable</t>
  </si>
  <si>
    <t>直流电缆 / DC Cable</t>
  </si>
  <si>
    <t>可按规格分行 / Split by size if needed</t>
  </si>
  <si>
    <t>接地防雷 / Grounding-Lightning</t>
  </si>
  <si>
    <t>接地与防雷 / Grounding &amp; Lightning</t>
  </si>
  <si>
    <t>通信监控 / Communication-SCADA</t>
  </si>
  <si>
    <t>通信监控/SCADA / Communication-SCADA</t>
    <phoneticPr fontId="2" type="noConversion"/>
  </si>
  <si>
    <t>桥架/线槽/端子 / Cable Tray-Trunking-Terminals</t>
  </si>
  <si>
    <t>其他电气配套 / Other Electrical Balance</t>
  </si>
  <si>
    <t>运输 / Transportation</t>
  </si>
  <si>
    <t>安装 / Installation</t>
  </si>
  <si>
    <t>调试 / Commissioning</t>
  </si>
  <si>
    <t>其他 / Other</t>
  </si>
  <si>
    <t>人民币 / CNY</t>
  </si>
  <si>
    <t>客户沟通中 / In Discussion</t>
  </si>
  <si>
    <t>欧元 / EUR</t>
  </si>
  <si>
    <t>报价确认中 / Quotation Review</t>
  </si>
  <si>
    <t>英镑 / GBP</t>
  </si>
  <si>
    <t>已提交 / Submitted</t>
  </si>
  <si>
    <t>汇流箱/配电箱 / Combiner-Switchboard</t>
  </si>
  <si>
    <t>日元 / JPY</t>
  </si>
  <si>
    <t>中标后复盘 / Post-Award Review</t>
  </si>
  <si>
    <t>自定义 / Custom</t>
  </si>
  <si>
    <t>年度成本 / Annual OPEX</t>
  </si>
  <si>
    <t>光储一体化托盘/PV-ESS Integrated Pallet</t>
    <phoneticPr fontId="2" type="noConversion"/>
  </si>
  <si>
    <t>关税/清关 / Customs-Clearance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</si>
</sst>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\(#,##0.00\);\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4"/>
      <color rgb="FFFFFFFF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color rgb="FFFFFFFF"/>
      <name val="微软雅黑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E7E6E6"/>
      </patternFill>
    </fill>
    <fill>
      <patternFill patternType="solid">
        <fgColor rgb="FFFCE4D6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6" fillId="5" borderId="1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left" vertical="center" wrapText="1"/>
    </xf>
    <xf numFmtId="0" fontId="3" fillId="0" borderId="1" xfId="1" applyFont="1" applyBorder="1" applyAlignment="1">
      <alignment horizontal="left" vertical="center" wrapText="1"/>
    </xf>
    <xf numFmtId="0" fontId="3" fillId="7" borderId="1" xfId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horizontal="left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 wrapText="1"/>
    </xf>
    <xf numFmtId="176" fontId="3" fillId="6" borderId="1" xfId="1" applyNumberFormat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14" fontId="3" fillId="6" borderId="1" xfId="1" applyNumberFormat="1" applyFont="1" applyFill="1" applyBorder="1" applyAlignment="1">
      <alignment horizontal="left" vertical="center" wrapText="1"/>
    </xf>
    <xf numFmtId="0" fontId="4" fillId="2" borderId="0" xfId="1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5" fillId="4" borderId="0" xfId="1" applyFont="1" applyFill="1"/>
    <xf numFmtId="0" fontId="5" fillId="9" borderId="1" xfId="1" applyFont="1" applyFill="1" applyBorder="1" applyAlignment="1">
      <alignment vertical="center" wrapText="1"/>
    </xf>
    <xf numFmtId="0" fontId="3" fillId="0" borderId="2" xfId="1" applyFont="1" applyBorder="1" applyAlignment="1">
      <alignment vertical="center" wrapText="1"/>
    </xf>
    <xf numFmtId="0" fontId="3" fillId="0" borderId="3" xfId="1" applyFont="1" applyBorder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showGridLines="0" topLeftCell="A7" workbookViewId="0">
      <selection activeCell="E8" sqref="E8"/>
    </sheetView>
  </sheetViews>
  <sheetFormatPr defaultColWidth="9.1328125" defaultRowHeight="15" x14ac:dyDescent="0.5"/>
  <cols>
    <col min="1" max="1" width="29.86328125" style="1" customWidth="1"/>
    <col min="2" max="2" width="24" style="1" customWidth="1"/>
    <col min="3" max="3" width="33.73046875" style="1" customWidth="1"/>
    <col min="4" max="4" width="25.59765625" style="1" customWidth="1"/>
    <col min="5" max="5" width="30" style="1" customWidth="1"/>
    <col min="6" max="6" width="25" style="1" customWidth="1"/>
    <col min="7" max="16384" width="9.1328125" style="1"/>
  </cols>
  <sheetData>
    <row r="1" spans="1:6" ht="24" customHeight="1" x14ac:dyDescent="0.5">
      <c r="A1" s="18" t="s">
        <v>1</v>
      </c>
      <c r="B1" s="19"/>
      <c r="C1" s="19"/>
      <c r="D1" s="19"/>
      <c r="E1" s="19"/>
      <c r="F1" s="19"/>
    </row>
    <row r="3" spans="1:6" ht="15.75" x14ac:dyDescent="0.55000000000000004">
      <c r="A3" s="21" t="s">
        <v>2</v>
      </c>
      <c r="B3" s="20"/>
      <c r="C3" s="20"/>
      <c r="D3" s="20"/>
      <c r="E3" s="20"/>
      <c r="F3" s="20"/>
    </row>
    <row r="4" spans="1:6" ht="20.100000000000001" customHeight="1" x14ac:dyDescent="0.5">
      <c r="A4" s="3" t="s">
        <v>3</v>
      </c>
      <c r="B4" s="3" t="s">
        <v>4</v>
      </c>
      <c r="C4" s="3" t="s">
        <v>5</v>
      </c>
      <c r="D4" s="3" t="s">
        <v>0</v>
      </c>
      <c r="E4" s="3" t="s">
        <v>6</v>
      </c>
      <c r="F4" s="3" t="s">
        <v>7</v>
      </c>
    </row>
    <row r="5" spans="1:6" ht="45" x14ac:dyDescent="0.5">
      <c r="A5" s="8" t="s">
        <v>8</v>
      </c>
      <c r="B5" s="4" t="s">
        <v>9</v>
      </c>
      <c r="C5" s="7" t="s">
        <v>10</v>
      </c>
      <c r="D5" s="5" t="s">
        <v>11</v>
      </c>
      <c r="E5" s="4" t="s">
        <v>12</v>
      </c>
      <c r="F5" s="9" t="s">
        <v>13</v>
      </c>
    </row>
    <row r="6" spans="1:6" x14ac:dyDescent="0.5">
      <c r="A6" s="8" t="s">
        <v>14</v>
      </c>
      <c r="B6" s="4" t="s">
        <v>12</v>
      </c>
      <c r="C6" s="4" t="s">
        <v>15</v>
      </c>
      <c r="D6" s="5"/>
      <c r="E6" s="4" t="s">
        <v>12</v>
      </c>
      <c r="F6" s="9" t="s">
        <v>13</v>
      </c>
    </row>
    <row r="7" spans="1:6" ht="45" x14ac:dyDescent="0.5">
      <c r="A7" s="8" t="s">
        <v>16</v>
      </c>
      <c r="B7" s="4" t="s">
        <v>17</v>
      </c>
      <c r="C7" s="7" t="s">
        <v>10</v>
      </c>
      <c r="D7" s="5" t="s">
        <v>18</v>
      </c>
      <c r="E7" s="4" t="s">
        <v>12</v>
      </c>
      <c r="F7" s="9" t="s">
        <v>13</v>
      </c>
    </row>
    <row r="8" spans="1:6" ht="30" x14ac:dyDescent="0.5">
      <c r="A8" s="8" t="s">
        <v>19</v>
      </c>
      <c r="B8" s="4" t="s">
        <v>12</v>
      </c>
      <c r="C8" s="7" t="s">
        <v>10</v>
      </c>
      <c r="D8" s="5" t="s">
        <v>20</v>
      </c>
      <c r="E8" s="4" t="s">
        <v>12</v>
      </c>
      <c r="F8" s="9" t="s">
        <v>13</v>
      </c>
    </row>
    <row r="9" spans="1:6" x14ac:dyDescent="0.5">
      <c r="A9" s="8" t="s">
        <v>21</v>
      </c>
      <c r="B9" s="17"/>
      <c r="C9" s="7" t="s">
        <v>10</v>
      </c>
      <c r="D9" s="5"/>
      <c r="E9" s="4" t="s">
        <v>12</v>
      </c>
      <c r="F9" s="9" t="s">
        <v>13</v>
      </c>
    </row>
    <row r="10" spans="1:6" x14ac:dyDescent="0.5">
      <c r="A10" s="8" t="s">
        <v>22</v>
      </c>
      <c r="B10" s="4"/>
      <c r="C10" s="4" t="s">
        <v>15</v>
      </c>
      <c r="D10" s="5"/>
      <c r="E10" s="4" t="s">
        <v>12</v>
      </c>
      <c r="F10" s="9" t="s">
        <v>13</v>
      </c>
    </row>
    <row r="12" spans="1:6" ht="15.75" x14ac:dyDescent="0.55000000000000004">
      <c r="A12" s="21" t="s">
        <v>24</v>
      </c>
      <c r="B12" s="20"/>
      <c r="C12" s="20"/>
      <c r="D12" s="20"/>
      <c r="E12" s="20"/>
      <c r="F12" s="20"/>
    </row>
    <row r="13" spans="1:6" ht="20.100000000000001" customHeight="1" x14ac:dyDescent="0.5">
      <c r="A13" s="3" t="s">
        <v>3</v>
      </c>
      <c r="B13" s="3" t="s">
        <v>4</v>
      </c>
      <c r="C13" s="3" t="s">
        <v>25</v>
      </c>
      <c r="D13" s="3" t="s">
        <v>5</v>
      </c>
      <c r="E13" s="3" t="s">
        <v>0</v>
      </c>
      <c r="F13" s="3" t="s">
        <v>26</v>
      </c>
    </row>
    <row r="14" spans="1:6" x14ac:dyDescent="0.5">
      <c r="A14" s="8" t="s">
        <v>27</v>
      </c>
      <c r="B14" s="4"/>
      <c r="C14" s="5" t="s">
        <v>28</v>
      </c>
      <c r="D14" s="4" t="s">
        <v>15</v>
      </c>
      <c r="E14" s="5"/>
      <c r="F14" s="9" t="s">
        <v>12</v>
      </c>
    </row>
    <row r="15" spans="1:6" ht="30" x14ac:dyDescent="0.5">
      <c r="A15" s="8" t="s">
        <v>29</v>
      </c>
      <c r="B15" s="4"/>
      <c r="C15" s="5" t="s">
        <v>30</v>
      </c>
      <c r="D15" s="4" t="s">
        <v>15</v>
      </c>
      <c r="E15" s="5" t="s">
        <v>31</v>
      </c>
      <c r="F15" s="9" t="s">
        <v>12</v>
      </c>
    </row>
    <row r="16" spans="1:6" ht="30" x14ac:dyDescent="0.5">
      <c r="A16" s="8" t="s">
        <v>32</v>
      </c>
      <c r="B16" s="4"/>
      <c r="C16" s="5" t="s">
        <v>33</v>
      </c>
      <c r="D16" s="4" t="s">
        <v>34</v>
      </c>
      <c r="E16" s="5" t="s">
        <v>35</v>
      </c>
      <c r="F16" s="9" t="s">
        <v>12</v>
      </c>
    </row>
    <row r="17" spans="1:6" ht="30" x14ac:dyDescent="0.5">
      <c r="A17" s="8" t="s">
        <v>36</v>
      </c>
      <c r="B17" s="4"/>
      <c r="C17" s="5" t="s">
        <v>37</v>
      </c>
      <c r="D17" s="4" t="s">
        <v>34</v>
      </c>
      <c r="E17" s="5" t="s">
        <v>12</v>
      </c>
      <c r="F17" s="9" t="s">
        <v>12</v>
      </c>
    </row>
    <row r="18" spans="1:6" ht="30" x14ac:dyDescent="0.5">
      <c r="A18" s="8" t="s">
        <v>38</v>
      </c>
      <c r="B18" s="4"/>
      <c r="C18" s="5" t="s">
        <v>39</v>
      </c>
      <c r="D18" s="4" t="s">
        <v>34</v>
      </c>
      <c r="E18" s="5" t="s">
        <v>40</v>
      </c>
      <c r="F18" s="9" t="s">
        <v>12</v>
      </c>
    </row>
    <row r="19" spans="1:6" ht="45" x14ac:dyDescent="0.5">
      <c r="A19" s="8" t="s">
        <v>41</v>
      </c>
      <c r="B19" s="4" t="s">
        <v>42</v>
      </c>
      <c r="C19" s="5"/>
      <c r="D19" s="4" t="s">
        <v>15</v>
      </c>
      <c r="E19" s="5" t="s">
        <v>43</v>
      </c>
      <c r="F19" s="9" t="s">
        <v>12</v>
      </c>
    </row>
    <row r="20" spans="1:6" ht="45" x14ac:dyDescent="0.5">
      <c r="A20" s="8" t="s">
        <v>44</v>
      </c>
      <c r="B20" s="4" t="s">
        <v>12</v>
      </c>
      <c r="C20" s="5"/>
      <c r="D20" s="4" t="s">
        <v>34</v>
      </c>
      <c r="E20" s="5" t="s">
        <v>45</v>
      </c>
      <c r="F20" s="9" t="s">
        <v>12</v>
      </c>
    </row>
    <row r="21" spans="1:6" x14ac:dyDescent="0.5">
      <c r="A21" s="8" t="s">
        <v>46</v>
      </c>
      <c r="B21" s="4"/>
      <c r="C21" s="5" t="s">
        <v>12</v>
      </c>
      <c r="D21" s="4" t="s">
        <v>34</v>
      </c>
      <c r="E21" s="5" t="s">
        <v>12</v>
      </c>
      <c r="F21" s="9" t="s">
        <v>12</v>
      </c>
    </row>
  </sheetData>
  <mergeCells count="3">
    <mergeCell ref="A3:F3"/>
    <mergeCell ref="A1:F1"/>
    <mergeCell ref="A12:F12"/>
  </mergeCells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error="请从下拉列表中选择" promptTitle="重要程度 / Priority" prompt="请选择：必填/建议填/选填" xr:uid="{00000000-0002-0000-0100-000000000000}">
          <x14:formula1>
            <xm:f>'99_下拉选项'!$D$1:$D$3</xm:f>
          </x14:formula1>
          <xm:sqref>D14:D21 C5:C10</xm:sqref>
        </x14:dataValidation>
        <x14:dataValidation type="list" allowBlank="1" error="请从下拉列表中选择 是/否" promptTitle="是否确认 / Confirmed" prompt="请选择 是 / 否" xr:uid="{00000000-0002-0000-0100-000001000000}">
          <x14:formula1>
            <xm:f>'99_下拉选项'!$A$1:$A$2</xm:f>
          </x14:formula1>
          <xm:sqref>F5:F10</xm:sqref>
        </x14:dataValidation>
        <x14:dataValidation type="list" allowBlank="1" error="请从下拉列表中选择项目阶段" promptTitle="项目阶段 / Project Stage" prompt="请选择项目阶段" xr:uid="{00000000-0002-0000-0100-000002000000}">
          <x14:formula1>
            <xm:f>'99_下拉选项'!$C$1:$C$5</xm:f>
          </x14:formula1>
          <xm:sqref>B10</xm:sqref>
        </x14:dataValidation>
        <x14:dataValidation type="list" allowBlank="1" error="请从下拉列表中选择币种" promptTitle="基准币种 / Base Currency" prompt="请选择币种" xr:uid="{00000000-0002-0000-0100-000003000000}">
          <x14:formula1>
            <xm:f>'99_下拉选项'!$B$1:$B$13</xm:f>
          </x14:formula1>
          <xm:sqref>B19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showGridLines="0" workbookViewId="0">
      <selection activeCell="C16" sqref="C16"/>
    </sheetView>
  </sheetViews>
  <sheetFormatPr defaultColWidth="9.1328125" defaultRowHeight="15" x14ac:dyDescent="0.5"/>
  <cols>
    <col min="1" max="1" width="14.86328125" style="1" customWidth="1"/>
    <col min="2" max="2" width="26.59765625" style="1" customWidth="1"/>
    <col min="3" max="3" width="25.73046875" style="1" customWidth="1"/>
    <col min="4" max="4" width="37.1328125" style="1" customWidth="1"/>
    <col min="5" max="5" width="24.3984375" style="1" customWidth="1"/>
    <col min="6" max="6" width="18" style="1" customWidth="1"/>
    <col min="7" max="7" width="16.265625" style="1" customWidth="1"/>
    <col min="8" max="16384" width="9.1328125" style="1"/>
  </cols>
  <sheetData>
    <row r="1" spans="1:7" ht="24" customHeight="1" x14ac:dyDescent="0.5">
      <c r="A1" s="18" t="s">
        <v>47</v>
      </c>
      <c r="B1" s="19"/>
      <c r="C1" s="19"/>
      <c r="D1" s="19"/>
      <c r="E1" s="19"/>
      <c r="F1" s="19"/>
      <c r="G1" s="19"/>
    </row>
    <row r="3" spans="1:7" s="2" customFormat="1" ht="33" customHeight="1" x14ac:dyDescent="0.5">
      <c r="A3" s="11" t="s">
        <v>48</v>
      </c>
      <c r="B3" s="11" t="s">
        <v>49</v>
      </c>
      <c r="C3" s="11" t="s">
        <v>50</v>
      </c>
      <c r="D3" s="11" t="s">
        <v>51</v>
      </c>
      <c r="E3" s="11" t="s">
        <v>7</v>
      </c>
      <c r="F3" s="11" t="s">
        <v>26</v>
      </c>
      <c r="G3" s="11" t="s">
        <v>52</v>
      </c>
    </row>
    <row r="4" spans="1:7" ht="30" x14ac:dyDescent="0.5">
      <c r="A4" s="10">
        <v>1</v>
      </c>
      <c r="B4" s="6" t="s">
        <v>53</v>
      </c>
      <c r="C4" s="6" t="s">
        <v>54</v>
      </c>
      <c r="D4" s="5" t="s">
        <v>55</v>
      </c>
      <c r="E4" s="9" t="s">
        <v>13</v>
      </c>
      <c r="F4" s="9" t="s">
        <v>12</v>
      </c>
      <c r="G4" s="9" t="s">
        <v>12</v>
      </c>
    </row>
    <row r="5" spans="1:7" ht="30" x14ac:dyDescent="0.5">
      <c r="A5" s="10">
        <v>2</v>
      </c>
      <c r="B5" s="6" t="s">
        <v>56</v>
      </c>
      <c r="C5" s="6" t="s">
        <v>57</v>
      </c>
      <c r="D5" s="5" t="s">
        <v>58</v>
      </c>
      <c r="E5" s="9" t="s">
        <v>13</v>
      </c>
      <c r="F5" s="9" t="s">
        <v>12</v>
      </c>
      <c r="G5" s="9" t="s">
        <v>12</v>
      </c>
    </row>
    <row r="6" spans="1:7" ht="30" x14ac:dyDescent="0.5">
      <c r="A6" s="10">
        <v>3</v>
      </c>
      <c r="B6" s="6" t="s">
        <v>59</v>
      </c>
      <c r="C6" s="6" t="s">
        <v>60</v>
      </c>
      <c r="D6" s="5" t="s">
        <v>61</v>
      </c>
      <c r="E6" s="9" t="s">
        <v>13</v>
      </c>
      <c r="F6" s="9" t="s">
        <v>12</v>
      </c>
      <c r="G6" s="9" t="s">
        <v>12</v>
      </c>
    </row>
    <row r="7" spans="1:7" ht="45" x14ac:dyDescent="0.5">
      <c r="A7" s="10">
        <v>4</v>
      </c>
      <c r="B7" s="6" t="s">
        <v>62</v>
      </c>
      <c r="C7" s="6" t="s">
        <v>63</v>
      </c>
      <c r="D7" s="5" t="s">
        <v>64</v>
      </c>
      <c r="E7" s="9" t="s">
        <v>13</v>
      </c>
      <c r="F7" s="9" t="s">
        <v>12</v>
      </c>
      <c r="G7" s="9" t="s">
        <v>12</v>
      </c>
    </row>
    <row r="8" spans="1:7" ht="45" x14ac:dyDescent="0.5">
      <c r="A8" s="10">
        <v>5</v>
      </c>
      <c r="B8" s="6" t="s">
        <v>65</v>
      </c>
      <c r="C8" s="6" t="s">
        <v>66</v>
      </c>
      <c r="D8" s="5" t="s">
        <v>67</v>
      </c>
      <c r="E8" s="9" t="s">
        <v>13</v>
      </c>
      <c r="F8" s="9" t="s">
        <v>12</v>
      </c>
      <c r="G8" s="9"/>
    </row>
    <row r="10" spans="1:7" s="16" customFormat="1" ht="30" x14ac:dyDescent="0.45">
      <c r="A10" s="22" t="s">
        <v>68</v>
      </c>
      <c r="B10" s="23"/>
      <c r="C10" s="24"/>
      <c r="D10" s="15" t="s">
        <v>69</v>
      </c>
      <c r="E10" s="15" t="s">
        <v>70</v>
      </c>
      <c r="F10" s="15"/>
      <c r="G10" s="15"/>
    </row>
  </sheetData>
  <mergeCells count="2">
    <mergeCell ref="A10:C10"/>
    <mergeCell ref="A1:G1"/>
  </mergeCells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="请从下拉列表中选择 是/否" promptTitle="是否确认 / Confirmed" prompt="请选择 是 / 否" xr:uid="{00000000-0002-0000-0200-000000000000}">
          <x14:formula1>
            <xm:f>'99_下拉选项'!$A$1:$A$2</xm:f>
          </x14:formula1>
          <xm:sqref>E4:E10</xm:sqref>
        </x14:dataValidation>
        <x14:dataValidation type="list" allowBlank="1" error="请从下拉列表中选择状态" promptTitle="状态 / Status" prompt="请选择当前状态" xr:uid="{00000000-0002-0000-0200-000001000000}">
          <x14:formula1>
            <xm:f>'99_下拉选项'!$C$1:$C$5</xm:f>
          </x14:formula1>
          <xm:sqref>G4:G8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showGridLines="0" zoomScale="85" zoomScaleNormal="85" workbookViewId="0">
      <selection activeCell="A3" sqref="A3:XFD3"/>
    </sheetView>
  </sheetViews>
  <sheetFormatPr defaultColWidth="9.1328125" defaultRowHeight="15" x14ac:dyDescent="0.5"/>
  <cols>
    <col min="1" max="1" width="12.59765625" style="1" customWidth="1"/>
    <col min="2" max="2" width="22.1328125" style="1" customWidth="1"/>
    <col min="3" max="3" width="19" style="1" customWidth="1"/>
    <col min="4" max="4" width="19.86328125" style="1" customWidth="1"/>
    <col min="5" max="5" width="14" style="1" customWidth="1"/>
    <col min="6" max="6" width="23.59765625" style="1" customWidth="1"/>
    <col min="7" max="7" width="24.265625" style="1" customWidth="1"/>
    <col min="8" max="8" width="18" style="1" customWidth="1"/>
    <col min="9" max="9" width="10" style="1" customWidth="1"/>
    <col min="10" max="16384" width="9.1328125" style="1"/>
  </cols>
  <sheetData>
    <row r="1" spans="1:9" ht="24" customHeight="1" x14ac:dyDescent="0.5">
      <c r="A1" s="18" t="s">
        <v>71</v>
      </c>
      <c r="B1" s="19"/>
      <c r="C1" s="19"/>
      <c r="D1" s="19"/>
      <c r="E1" s="19"/>
      <c r="F1" s="19"/>
      <c r="G1" s="19"/>
      <c r="H1" s="19"/>
      <c r="I1" s="19"/>
    </row>
    <row r="3" spans="1:9" s="2" customFormat="1" ht="40.5" customHeight="1" x14ac:dyDescent="0.5">
      <c r="A3" s="11" t="s">
        <v>48</v>
      </c>
      <c r="B3" s="11" t="s">
        <v>72</v>
      </c>
      <c r="C3" s="11" t="s">
        <v>73</v>
      </c>
      <c r="D3" s="11" t="s">
        <v>74</v>
      </c>
      <c r="E3" s="11" t="s">
        <v>75</v>
      </c>
      <c r="F3" s="11" t="s">
        <v>76</v>
      </c>
      <c r="G3" s="11" t="s">
        <v>77</v>
      </c>
      <c r="H3" s="11" t="s">
        <v>78</v>
      </c>
      <c r="I3" s="11" t="s">
        <v>79</v>
      </c>
    </row>
    <row r="4" spans="1:9" ht="30" x14ac:dyDescent="0.5">
      <c r="A4" s="12">
        <v>1</v>
      </c>
      <c r="B4" s="6" t="s">
        <v>53</v>
      </c>
      <c r="C4" s="4" t="s">
        <v>80</v>
      </c>
      <c r="D4" s="4" t="s">
        <v>81</v>
      </c>
      <c r="E4" s="4" t="s">
        <v>82</v>
      </c>
      <c r="F4" s="13" t="s">
        <v>83</v>
      </c>
      <c r="G4" s="13">
        <v>655</v>
      </c>
      <c r="H4" s="9" t="s">
        <v>84</v>
      </c>
      <c r="I4" s="14">
        <f>4*32</f>
        <v>128</v>
      </c>
    </row>
    <row r="5" spans="1:9" ht="45" x14ac:dyDescent="0.5">
      <c r="A5" s="12">
        <v>2</v>
      </c>
      <c r="B5" s="6" t="s">
        <v>53</v>
      </c>
      <c r="C5" s="4" t="s">
        <v>80</v>
      </c>
      <c r="D5" s="4" t="s">
        <v>81</v>
      </c>
      <c r="E5" s="4" t="s">
        <v>12</v>
      </c>
      <c r="F5" s="13" t="s">
        <v>12</v>
      </c>
      <c r="G5" s="13" t="s">
        <v>86</v>
      </c>
      <c r="H5" s="9" t="s">
        <v>84</v>
      </c>
      <c r="I5" s="14" t="s">
        <v>12</v>
      </c>
    </row>
    <row r="6" spans="1:9" ht="30" x14ac:dyDescent="0.5">
      <c r="A6" s="12">
        <v>3</v>
      </c>
      <c r="B6" s="6" t="s">
        <v>53</v>
      </c>
      <c r="C6" s="4" t="s">
        <v>87</v>
      </c>
      <c r="D6" s="4" t="s">
        <v>88</v>
      </c>
      <c r="E6" s="4" t="s">
        <v>89</v>
      </c>
      <c r="F6" s="13" t="s">
        <v>90</v>
      </c>
      <c r="G6" s="13" t="s">
        <v>91</v>
      </c>
      <c r="H6" s="9" t="s">
        <v>92</v>
      </c>
      <c r="I6" s="14">
        <v>3</v>
      </c>
    </row>
    <row r="7" spans="1:9" x14ac:dyDescent="0.5">
      <c r="A7" s="12">
        <v>4</v>
      </c>
      <c r="B7" s="6" t="s">
        <v>53</v>
      </c>
      <c r="C7" s="4" t="s">
        <v>87</v>
      </c>
      <c r="D7" s="4" t="s">
        <v>94</v>
      </c>
      <c r="E7" s="4" t="s">
        <v>12</v>
      </c>
      <c r="F7" s="13" t="s">
        <v>12</v>
      </c>
      <c r="G7" s="13" t="s">
        <v>12</v>
      </c>
      <c r="H7" s="9" t="s">
        <v>92</v>
      </c>
      <c r="I7" s="14" t="s">
        <v>12</v>
      </c>
    </row>
    <row r="8" spans="1:9" ht="45" x14ac:dyDescent="0.5">
      <c r="A8" s="12">
        <v>5</v>
      </c>
      <c r="B8" s="6" t="s">
        <v>53</v>
      </c>
      <c r="C8" s="4" t="s">
        <v>95</v>
      </c>
      <c r="D8" s="4" t="s">
        <v>96</v>
      </c>
      <c r="E8" s="4" t="s">
        <v>97</v>
      </c>
      <c r="F8" s="13" t="s">
        <v>12</v>
      </c>
      <c r="G8" s="13"/>
      <c r="H8" s="9" t="s">
        <v>92</v>
      </c>
      <c r="I8" s="14">
        <v>4</v>
      </c>
    </row>
    <row r="9" spans="1:9" ht="45" x14ac:dyDescent="0.5">
      <c r="A9" s="12">
        <v>6</v>
      </c>
      <c r="B9" s="6" t="s">
        <v>53</v>
      </c>
      <c r="C9" s="4" t="s">
        <v>98</v>
      </c>
      <c r="D9" s="4" t="s">
        <v>99</v>
      </c>
      <c r="E9" s="4" t="s">
        <v>12</v>
      </c>
      <c r="F9" s="13" t="s">
        <v>12</v>
      </c>
      <c r="G9" s="13" t="s">
        <v>12</v>
      </c>
      <c r="H9" s="9" t="s">
        <v>100</v>
      </c>
      <c r="I9" s="14" t="s">
        <v>12</v>
      </c>
    </row>
    <row r="10" spans="1:9" ht="45" x14ac:dyDescent="0.5">
      <c r="A10" s="12">
        <v>7</v>
      </c>
      <c r="B10" s="6" t="s">
        <v>53</v>
      </c>
      <c r="C10" s="4" t="s">
        <v>98</v>
      </c>
      <c r="D10" s="4" t="s">
        <v>101</v>
      </c>
      <c r="E10" s="4" t="s">
        <v>12</v>
      </c>
      <c r="F10" s="13" t="s">
        <v>12</v>
      </c>
      <c r="G10" s="13" t="s">
        <v>12</v>
      </c>
      <c r="H10" s="9" t="s">
        <v>100</v>
      </c>
      <c r="I10" s="14" t="s">
        <v>12</v>
      </c>
    </row>
    <row r="11" spans="1:9" ht="45" x14ac:dyDescent="0.5">
      <c r="A11" s="12">
        <v>8</v>
      </c>
      <c r="B11" s="6" t="s">
        <v>53</v>
      </c>
      <c r="C11" s="4" t="s">
        <v>98</v>
      </c>
      <c r="D11" s="4" t="s">
        <v>102</v>
      </c>
      <c r="E11" s="4" t="s">
        <v>12</v>
      </c>
      <c r="F11" s="13" t="s">
        <v>12</v>
      </c>
      <c r="G11" s="13" t="s">
        <v>12</v>
      </c>
      <c r="H11" s="9" t="s">
        <v>100</v>
      </c>
      <c r="I11" s="14" t="s">
        <v>12</v>
      </c>
    </row>
  </sheetData>
  <mergeCells count="1">
    <mergeCell ref="A1:I1"/>
  </mergeCells>
  <phoneticPr fontId="2" type="noConversion"/>
  <dataValidations count="1">
    <dataValidation type="decimal" operator="greaterThanOrEqual" allowBlank="1" error="数量必须是数字" promptTitle="数量 / Qty" prompt="请输入数字；可填整数或小数" sqref="I4:I11" xr:uid="{00000000-0002-0000-0300-000002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="请从下拉列表中选择子类" promptTitle="子类 / Subcategory" prompt="请选择子类" xr:uid="{00000000-0002-0000-0300-000000000000}">
          <x14:formula1>
            <xm:f>'99_下拉选项'!$F$1:$F$24</xm:f>
          </x14:formula1>
          <xm:sqref>C4:C11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"/>
  <sheetViews>
    <sheetView showGridLines="0" zoomScale="85" zoomScaleNormal="85" workbookViewId="0">
      <selection activeCell="A3" sqref="A3:XFD3"/>
    </sheetView>
  </sheetViews>
  <sheetFormatPr defaultColWidth="9.1328125" defaultRowHeight="15" x14ac:dyDescent="0.5"/>
  <cols>
    <col min="1" max="1" width="13.73046875" style="1" customWidth="1"/>
    <col min="2" max="2" width="18.1328125" style="1" customWidth="1"/>
    <col min="3" max="5" width="18" style="1" customWidth="1"/>
    <col min="6" max="6" width="16" style="1" customWidth="1"/>
    <col min="7" max="7" width="20" style="1" customWidth="1"/>
    <col min="8" max="8" width="18" style="1" customWidth="1"/>
    <col min="9" max="9" width="10" style="1" customWidth="1"/>
    <col min="10" max="16384" width="9.1328125" style="1"/>
  </cols>
  <sheetData>
    <row r="1" spans="1:9" ht="24" customHeight="1" x14ac:dyDescent="0.5">
      <c r="A1" s="18" t="s">
        <v>103</v>
      </c>
      <c r="B1" s="19"/>
      <c r="C1" s="19"/>
      <c r="D1" s="19"/>
      <c r="E1" s="19"/>
      <c r="F1" s="19"/>
      <c r="G1" s="19"/>
      <c r="H1" s="19"/>
      <c r="I1" s="19"/>
    </row>
    <row r="3" spans="1:9" s="2" customFormat="1" ht="54.75" customHeight="1" x14ac:dyDescent="0.5">
      <c r="A3" s="11" t="s">
        <v>48</v>
      </c>
      <c r="B3" s="11" t="s">
        <v>72</v>
      </c>
      <c r="C3" s="11" t="s">
        <v>73</v>
      </c>
      <c r="D3" s="11" t="s">
        <v>74</v>
      </c>
      <c r="E3" s="11" t="s">
        <v>75</v>
      </c>
      <c r="F3" s="11" t="s">
        <v>76</v>
      </c>
      <c r="G3" s="11" t="s">
        <v>77</v>
      </c>
      <c r="H3" s="11" t="s">
        <v>78</v>
      </c>
      <c r="I3" s="11" t="s">
        <v>79</v>
      </c>
    </row>
    <row r="4" spans="1:9" ht="30" x14ac:dyDescent="0.5">
      <c r="A4" s="12">
        <v>1</v>
      </c>
      <c r="B4" s="6" t="s">
        <v>104</v>
      </c>
      <c r="C4" s="4" t="s">
        <v>105</v>
      </c>
      <c r="D4" s="4" t="s">
        <v>106</v>
      </c>
      <c r="E4" s="4" t="s">
        <v>12</v>
      </c>
      <c r="F4" s="13" t="s">
        <v>12</v>
      </c>
      <c r="G4" s="13" t="s">
        <v>107</v>
      </c>
      <c r="H4" s="9" t="s">
        <v>92</v>
      </c>
      <c r="I4" s="14" t="s">
        <v>12</v>
      </c>
    </row>
    <row r="5" spans="1:9" ht="45" x14ac:dyDescent="0.5">
      <c r="A5" s="12">
        <v>2</v>
      </c>
      <c r="B5" s="6" t="s">
        <v>56</v>
      </c>
      <c r="C5" s="4" t="s">
        <v>108</v>
      </c>
      <c r="D5" s="4" t="s">
        <v>109</v>
      </c>
      <c r="E5" s="4" t="s">
        <v>110</v>
      </c>
      <c r="F5" s="13" t="s">
        <v>111</v>
      </c>
      <c r="G5" s="13" t="s">
        <v>112</v>
      </c>
      <c r="H5" s="9" t="s">
        <v>113</v>
      </c>
      <c r="I5" s="14">
        <v>16</v>
      </c>
    </row>
    <row r="6" spans="1:9" ht="45" x14ac:dyDescent="0.5">
      <c r="A6" s="12">
        <v>3</v>
      </c>
      <c r="B6" s="6" t="s">
        <v>56</v>
      </c>
      <c r="C6" s="4" t="s">
        <v>114</v>
      </c>
      <c r="D6" s="4" t="s">
        <v>115</v>
      </c>
      <c r="E6" s="4" t="s">
        <v>97</v>
      </c>
      <c r="F6" s="13"/>
      <c r="G6" s="13"/>
      <c r="H6" s="9" t="s">
        <v>92</v>
      </c>
      <c r="I6" s="14">
        <v>1</v>
      </c>
    </row>
    <row r="7" spans="1:9" ht="45" x14ac:dyDescent="0.5">
      <c r="A7" s="12">
        <v>3</v>
      </c>
      <c r="B7" s="6" t="s">
        <v>56</v>
      </c>
      <c r="C7" s="4" t="s">
        <v>116</v>
      </c>
      <c r="D7" s="4" t="s">
        <v>117</v>
      </c>
      <c r="E7" s="4"/>
      <c r="F7" s="13"/>
      <c r="G7" s="13" t="s">
        <v>12</v>
      </c>
      <c r="H7" s="9" t="s">
        <v>92</v>
      </c>
      <c r="I7" s="14" t="s">
        <v>12</v>
      </c>
    </row>
    <row r="8" spans="1:9" ht="30" x14ac:dyDescent="0.5">
      <c r="A8" s="12">
        <v>4</v>
      </c>
      <c r="B8" s="6" t="s">
        <v>56</v>
      </c>
      <c r="C8" s="4" t="s">
        <v>118</v>
      </c>
      <c r="D8" s="4" t="s">
        <v>119</v>
      </c>
      <c r="E8" s="4" t="s">
        <v>12</v>
      </c>
      <c r="F8" s="13" t="s">
        <v>12</v>
      </c>
      <c r="G8" s="13" t="s">
        <v>12</v>
      </c>
      <c r="H8" s="9" t="s">
        <v>92</v>
      </c>
      <c r="I8" s="14" t="s">
        <v>12</v>
      </c>
    </row>
    <row r="9" spans="1:9" ht="45" x14ac:dyDescent="0.5">
      <c r="A9" s="12">
        <v>5</v>
      </c>
      <c r="B9" s="6" t="s">
        <v>56</v>
      </c>
      <c r="C9" s="4" t="s">
        <v>118</v>
      </c>
      <c r="D9" s="4" t="s">
        <v>120</v>
      </c>
      <c r="E9" s="4" t="s">
        <v>12</v>
      </c>
      <c r="F9" s="13" t="s">
        <v>12</v>
      </c>
      <c r="G9" s="13" t="s">
        <v>12</v>
      </c>
      <c r="H9" s="9" t="s">
        <v>92</v>
      </c>
      <c r="I9" s="14" t="s">
        <v>12</v>
      </c>
    </row>
    <row r="10" spans="1:9" ht="30" x14ac:dyDescent="0.5">
      <c r="A10" s="12">
        <v>6</v>
      </c>
      <c r="B10" s="6" t="s">
        <v>56</v>
      </c>
      <c r="C10" s="4" t="s">
        <v>121</v>
      </c>
      <c r="D10" s="4" t="s">
        <v>122</v>
      </c>
      <c r="E10" s="4" t="s">
        <v>12</v>
      </c>
      <c r="F10" s="13" t="s">
        <v>12</v>
      </c>
      <c r="G10" s="13" t="s">
        <v>12</v>
      </c>
      <c r="H10" s="9" t="s">
        <v>92</v>
      </c>
      <c r="I10" s="14"/>
    </row>
    <row r="11" spans="1:9" ht="30" x14ac:dyDescent="0.5">
      <c r="A11" s="12">
        <v>7</v>
      </c>
      <c r="B11" s="6" t="s">
        <v>56</v>
      </c>
      <c r="C11" s="4" t="s">
        <v>121</v>
      </c>
      <c r="D11" s="4" t="s">
        <v>123</v>
      </c>
      <c r="E11" s="4" t="s">
        <v>12</v>
      </c>
      <c r="F11" s="13"/>
      <c r="G11" s="13"/>
      <c r="H11" s="9" t="s">
        <v>124</v>
      </c>
      <c r="I11" s="14" t="s">
        <v>12</v>
      </c>
    </row>
    <row r="12" spans="1:9" ht="45" x14ac:dyDescent="0.5">
      <c r="A12" s="12">
        <v>8</v>
      </c>
      <c r="B12" s="6" t="s">
        <v>56</v>
      </c>
      <c r="C12" s="4" t="s">
        <v>98</v>
      </c>
      <c r="D12" s="4" t="s">
        <v>125</v>
      </c>
      <c r="E12" s="4" t="s">
        <v>12</v>
      </c>
      <c r="F12" s="13" t="s">
        <v>12</v>
      </c>
      <c r="G12" s="13" t="s">
        <v>12</v>
      </c>
      <c r="H12" s="9" t="s">
        <v>100</v>
      </c>
      <c r="I12" s="14">
        <v>1</v>
      </c>
    </row>
  </sheetData>
  <mergeCells count="1">
    <mergeCell ref="A1:I1"/>
  </mergeCells>
  <phoneticPr fontId="2" type="noConversion"/>
  <dataValidations count="1">
    <dataValidation type="decimal" operator="greaterThanOrEqual" allowBlank="1" error="数量必须是数字" promptTitle="数量 / Qty" prompt="请输入数字；可填整数或小数" sqref="I4:I12" xr:uid="{00000000-0002-0000-0400-000002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="请从下拉列表中选择子类" promptTitle="子类 / Subcategory" prompt="请选择子类" xr:uid="{00000000-0002-0000-0400-000000000000}">
          <x14:formula1>
            <xm:f>'99_下拉选项'!$F$1:$F$24</xm:f>
          </x14:formula1>
          <xm:sqref>C4:C12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"/>
  <sheetViews>
    <sheetView showGridLines="0" zoomScale="85" zoomScaleNormal="85" workbookViewId="0">
      <selection activeCell="A3" sqref="A3:XFD3"/>
    </sheetView>
  </sheetViews>
  <sheetFormatPr defaultColWidth="9.1328125" defaultRowHeight="15" x14ac:dyDescent="0.5"/>
  <cols>
    <col min="1" max="1" width="15.3984375" style="1" customWidth="1"/>
    <col min="2" max="2" width="18.3984375" style="1" customWidth="1"/>
    <col min="3" max="3" width="19.73046875" style="1" customWidth="1"/>
    <col min="4" max="4" width="22.86328125" style="1" customWidth="1"/>
    <col min="5" max="5" width="14" style="1" customWidth="1"/>
    <col min="6" max="6" width="16" style="1" customWidth="1"/>
    <col min="7" max="7" width="20" style="1" customWidth="1"/>
    <col min="8" max="8" width="18" style="1" customWidth="1"/>
    <col min="9" max="9" width="10" style="1" customWidth="1"/>
    <col min="10" max="16384" width="9.1328125" style="1"/>
  </cols>
  <sheetData>
    <row r="1" spans="1:9" ht="24" customHeight="1" x14ac:dyDescent="0.5">
      <c r="A1" s="18" t="s">
        <v>126</v>
      </c>
      <c r="B1" s="19"/>
      <c r="C1" s="19"/>
      <c r="D1" s="19"/>
      <c r="E1" s="19"/>
      <c r="F1" s="19"/>
      <c r="G1" s="19"/>
      <c r="H1" s="19"/>
      <c r="I1" s="19"/>
    </row>
    <row r="3" spans="1:9" s="2" customFormat="1" ht="51.75" customHeight="1" x14ac:dyDescent="0.5">
      <c r="A3" s="11" t="s">
        <v>48</v>
      </c>
      <c r="B3" s="11" t="s">
        <v>72</v>
      </c>
      <c r="C3" s="11" t="s">
        <v>73</v>
      </c>
      <c r="D3" s="11" t="s">
        <v>74</v>
      </c>
      <c r="E3" s="11" t="s">
        <v>75</v>
      </c>
      <c r="F3" s="11" t="s">
        <v>76</v>
      </c>
      <c r="G3" s="11" t="s">
        <v>77</v>
      </c>
      <c r="H3" s="11" t="s">
        <v>78</v>
      </c>
      <c r="I3" s="11" t="s">
        <v>79</v>
      </c>
    </row>
    <row r="4" spans="1:9" ht="30" x14ac:dyDescent="0.5">
      <c r="A4" s="12">
        <v>1</v>
      </c>
      <c r="B4" s="6" t="s">
        <v>59</v>
      </c>
      <c r="C4" s="4" t="s">
        <v>127</v>
      </c>
      <c r="D4" s="4" t="s">
        <v>128</v>
      </c>
      <c r="E4" s="4" t="s">
        <v>12</v>
      </c>
      <c r="F4" s="9" t="s">
        <v>12</v>
      </c>
      <c r="G4" s="13" t="s">
        <v>129</v>
      </c>
      <c r="H4" s="9" t="s">
        <v>92</v>
      </c>
      <c r="I4" s="14">
        <v>1</v>
      </c>
    </row>
    <row r="5" spans="1:9" ht="30" x14ac:dyDescent="0.5">
      <c r="A5" s="12">
        <v>2</v>
      </c>
      <c r="B5" s="6" t="s">
        <v>59</v>
      </c>
      <c r="C5" s="4" t="s">
        <v>130</v>
      </c>
      <c r="D5" s="4" t="s">
        <v>131</v>
      </c>
      <c r="E5" s="4" t="s">
        <v>12</v>
      </c>
      <c r="F5" s="9" t="s">
        <v>12</v>
      </c>
      <c r="G5" s="13" t="s">
        <v>12</v>
      </c>
      <c r="H5" s="9" t="s">
        <v>92</v>
      </c>
      <c r="I5" s="14" t="s">
        <v>12</v>
      </c>
    </row>
    <row r="6" spans="1:9" ht="30" x14ac:dyDescent="0.5">
      <c r="A6" s="12">
        <v>3</v>
      </c>
      <c r="B6" s="6" t="s">
        <v>59</v>
      </c>
      <c r="C6" s="4" t="s">
        <v>130</v>
      </c>
      <c r="D6" s="4" t="s">
        <v>132</v>
      </c>
      <c r="E6" s="4" t="s">
        <v>12</v>
      </c>
      <c r="F6" s="9" t="s">
        <v>12</v>
      </c>
      <c r="G6" s="13" t="s">
        <v>12</v>
      </c>
      <c r="H6" s="9" t="s">
        <v>92</v>
      </c>
      <c r="I6" s="14" t="s">
        <v>12</v>
      </c>
    </row>
    <row r="7" spans="1:9" ht="30" x14ac:dyDescent="0.5">
      <c r="A7" s="12">
        <v>4</v>
      </c>
      <c r="B7" s="6" t="s">
        <v>59</v>
      </c>
      <c r="C7" s="4" t="s">
        <v>130</v>
      </c>
      <c r="D7" s="4" t="s">
        <v>133</v>
      </c>
      <c r="E7" s="4" t="s">
        <v>12</v>
      </c>
      <c r="F7" s="9" t="s">
        <v>12</v>
      </c>
      <c r="G7" s="13" t="s">
        <v>12</v>
      </c>
      <c r="H7" s="9" t="s">
        <v>92</v>
      </c>
      <c r="I7" s="14" t="s">
        <v>12</v>
      </c>
    </row>
    <row r="8" spans="1:9" ht="45" x14ac:dyDescent="0.5">
      <c r="A8" s="12">
        <v>5</v>
      </c>
      <c r="B8" s="6" t="s">
        <v>59</v>
      </c>
      <c r="C8" s="4" t="s">
        <v>98</v>
      </c>
      <c r="D8" s="4" t="s">
        <v>134</v>
      </c>
      <c r="E8" s="4" t="s">
        <v>12</v>
      </c>
      <c r="F8" s="9" t="s">
        <v>12</v>
      </c>
      <c r="G8" s="13" t="s">
        <v>12</v>
      </c>
      <c r="H8" s="9" t="s">
        <v>92</v>
      </c>
      <c r="I8" s="14" t="s">
        <v>12</v>
      </c>
    </row>
    <row r="9" spans="1:9" ht="45" x14ac:dyDescent="0.5">
      <c r="A9" s="12">
        <v>6</v>
      </c>
      <c r="B9" s="6" t="s">
        <v>59</v>
      </c>
      <c r="C9" s="4" t="s">
        <v>98</v>
      </c>
      <c r="D9" s="4" t="s">
        <v>135</v>
      </c>
      <c r="E9" s="4" t="s">
        <v>12</v>
      </c>
      <c r="F9" s="9" t="s">
        <v>12</v>
      </c>
      <c r="G9" s="13" t="s">
        <v>12</v>
      </c>
      <c r="H9" s="9" t="s">
        <v>100</v>
      </c>
      <c r="I9" s="14" t="s">
        <v>12</v>
      </c>
    </row>
  </sheetData>
  <mergeCells count="1">
    <mergeCell ref="A1:I1"/>
  </mergeCells>
  <phoneticPr fontId="2" type="noConversion"/>
  <dataValidations count="1">
    <dataValidation type="decimal" operator="greaterThanOrEqual" allowBlank="1" error="数量必须是数字" promptTitle="数量 / Qty" prompt="请输入数字；可填整数或小数" sqref="I4:I9" xr:uid="{00000000-0002-0000-0500-000002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="请从下拉列表中选择子类" promptTitle="子类 / Subcategory" prompt="请选择子类" xr:uid="{00000000-0002-0000-0500-000000000000}">
          <x14:formula1>
            <xm:f>'99_下拉选项'!$F$1:$F$24</xm:f>
          </x14:formula1>
          <xm:sqref>C4:C9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1"/>
  <sheetViews>
    <sheetView showGridLines="0" zoomScale="85" zoomScaleNormal="85" workbookViewId="0">
      <selection activeCell="H16" sqref="H16"/>
    </sheetView>
  </sheetViews>
  <sheetFormatPr defaultColWidth="9.1328125" defaultRowHeight="15" x14ac:dyDescent="0.5"/>
  <cols>
    <col min="1" max="1" width="9.265625" style="1" customWidth="1"/>
    <col min="2" max="2" width="17.73046875" style="1" customWidth="1"/>
    <col min="3" max="3" width="20.265625" style="1" customWidth="1"/>
    <col min="4" max="4" width="21.3984375" style="1" customWidth="1"/>
    <col min="5" max="5" width="14" style="1" customWidth="1"/>
    <col min="6" max="6" width="16" style="1" customWidth="1"/>
    <col min="7" max="7" width="20" style="1" customWidth="1"/>
    <col min="8" max="8" width="18" style="1" customWidth="1"/>
    <col min="9" max="9" width="10" style="1" customWidth="1"/>
    <col min="10" max="16384" width="9.1328125" style="1"/>
  </cols>
  <sheetData>
    <row r="1" spans="1:9" ht="24" customHeight="1" x14ac:dyDescent="0.5">
      <c r="A1" s="18" t="s">
        <v>136</v>
      </c>
      <c r="B1" s="19"/>
      <c r="C1" s="19"/>
      <c r="D1" s="19"/>
      <c r="E1" s="19"/>
      <c r="F1" s="19"/>
      <c r="G1" s="19"/>
      <c r="H1" s="19"/>
      <c r="I1" s="19"/>
    </row>
    <row r="3" spans="1:9" s="2" customFormat="1" ht="45" customHeight="1" x14ac:dyDescent="0.5">
      <c r="A3" s="11" t="s">
        <v>48</v>
      </c>
      <c r="B3" s="11" t="s">
        <v>72</v>
      </c>
      <c r="C3" s="11" t="s">
        <v>73</v>
      </c>
      <c r="D3" s="11" t="s">
        <v>74</v>
      </c>
      <c r="E3" s="11" t="s">
        <v>75</v>
      </c>
      <c r="F3" s="11" t="s">
        <v>76</v>
      </c>
      <c r="G3" s="11" t="s">
        <v>77</v>
      </c>
      <c r="H3" s="11" t="s">
        <v>78</v>
      </c>
      <c r="I3" s="11" t="s">
        <v>79</v>
      </c>
    </row>
    <row r="4" spans="1:9" ht="45" x14ac:dyDescent="0.5">
      <c r="A4" s="12">
        <v>1</v>
      </c>
      <c r="B4" s="6" t="s">
        <v>62</v>
      </c>
      <c r="C4" s="4" t="s">
        <v>137</v>
      </c>
      <c r="D4" s="4" t="s">
        <v>138</v>
      </c>
      <c r="E4" s="4"/>
      <c r="F4" s="9" t="s">
        <v>12</v>
      </c>
      <c r="G4" s="13" t="s">
        <v>12</v>
      </c>
      <c r="H4" s="9" t="s">
        <v>92</v>
      </c>
      <c r="I4" s="14">
        <v>1</v>
      </c>
    </row>
    <row r="5" spans="1:9" ht="30" x14ac:dyDescent="0.5">
      <c r="A5" s="12">
        <v>2</v>
      </c>
      <c r="B5" s="6" t="s">
        <v>62</v>
      </c>
      <c r="C5" s="4" t="s">
        <v>139</v>
      </c>
      <c r="D5" s="4" t="s">
        <v>139</v>
      </c>
      <c r="E5" s="4" t="s">
        <v>12</v>
      </c>
      <c r="F5" s="9" t="s">
        <v>12</v>
      </c>
      <c r="G5" s="13" t="s">
        <v>12</v>
      </c>
      <c r="H5" s="9" t="s">
        <v>92</v>
      </c>
      <c r="I5" s="14" t="s">
        <v>12</v>
      </c>
    </row>
    <row r="6" spans="1:9" ht="30" x14ac:dyDescent="0.5">
      <c r="A6" s="12">
        <v>3</v>
      </c>
      <c r="B6" s="6" t="s">
        <v>62</v>
      </c>
      <c r="C6" s="4" t="s">
        <v>140</v>
      </c>
      <c r="D6" s="4" t="s">
        <v>141</v>
      </c>
      <c r="E6" s="4" t="s">
        <v>12</v>
      </c>
      <c r="F6" s="9" t="s">
        <v>12</v>
      </c>
      <c r="G6" s="13" t="s">
        <v>142</v>
      </c>
      <c r="H6" s="9" t="s">
        <v>143</v>
      </c>
      <c r="I6" s="14">
        <v>1</v>
      </c>
    </row>
    <row r="7" spans="1:9" ht="30" x14ac:dyDescent="0.5">
      <c r="A7" s="12">
        <v>4</v>
      </c>
      <c r="B7" s="6" t="s">
        <v>62</v>
      </c>
      <c r="C7" s="4" t="s">
        <v>144</v>
      </c>
      <c r="D7" s="4" t="s">
        <v>145</v>
      </c>
      <c r="E7" s="4" t="s">
        <v>12</v>
      </c>
      <c r="F7" s="9" t="s">
        <v>12</v>
      </c>
      <c r="G7" s="13" t="s">
        <v>146</v>
      </c>
      <c r="H7" s="9" t="s">
        <v>143</v>
      </c>
      <c r="I7" s="14">
        <v>1</v>
      </c>
    </row>
    <row r="8" spans="1:9" ht="45" x14ac:dyDescent="0.5">
      <c r="A8" s="12">
        <v>5</v>
      </c>
      <c r="B8" s="6" t="s">
        <v>62</v>
      </c>
      <c r="C8" s="4" t="s">
        <v>147</v>
      </c>
      <c r="D8" s="4" t="s">
        <v>148</v>
      </c>
      <c r="E8" s="4" t="s">
        <v>12</v>
      </c>
      <c r="F8" s="9" t="s">
        <v>12</v>
      </c>
      <c r="G8" s="13" t="s">
        <v>12</v>
      </c>
      <c r="H8" s="9" t="s">
        <v>100</v>
      </c>
      <c r="I8" s="14" t="s">
        <v>12</v>
      </c>
    </row>
    <row r="9" spans="1:9" ht="45" x14ac:dyDescent="0.5">
      <c r="A9" s="12">
        <v>6</v>
      </c>
      <c r="B9" s="6" t="s">
        <v>62</v>
      </c>
      <c r="C9" s="4" t="s">
        <v>149</v>
      </c>
      <c r="D9" s="4" t="s">
        <v>150</v>
      </c>
      <c r="E9" s="4" t="s">
        <v>12</v>
      </c>
      <c r="F9" s="9" t="s">
        <v>12</v>
      </c>
      <c r="G9" s="13" t="s">
        <v>12</v>
      </c>
      <c r="H9" s="9" t="s">
        <v>92</v>
      </c>
      <c r="I9" s="14" t="s">
        <v>12</v>
      </c>
    </row>
    <row r="10" spans="1:9" ht="45" x14ac:dyDescent="0.5">
      <c r="A10" s="12">
        <v>7</v>
      </c>
      <c r="B10" s="6" t="s">
        <v>62</v>
      </c>
      <c r="C10" s="4" t="s">
        <v>98</v>
      </c>
      <c r="D10" s="4" t="s">
        <v>151</v>
      </c>
      <c r="E10" s="4" t="s">
        <v>12</v>
      </c>
      <c r="F10" s="9" t="s">
        <v>12</v>
      </c>
      <c r="G10" s="13" t="s">
        <v>12</v>
      </c>
      <c r="H10" s="9" t="s">
        <v>100</v>
      </c>
      <c r="I10" s="14" t="s">
        <v>12</v>
      </c>
    </row>
    <row r="11" spans="1:9" ht="30" x14ac:dyDescent="0.5">
      <c r="A11" s="12">
        <v>8</v>
      </c>
      <c r="B11" s="6" t="s">
        <v>62</v>
      </c>
      <c r="C11" s="4" t="s">
        <v>98</v>
      </c>
      <c r="D11" s="4" t="s">
        <v>152</v>
      </c>
      <c r="E11" s="4" t="s">
        <v>12</v>
      </c>
      <c r="F11" s="9" t="s">
        <v>12</v>
      </c>
      <c r="G11" s="13" t="s">
        <v>12</v>
      </c>
      <c r="H11" s="9" t="s">
        <v>100</v>
      </c>
      <c r="I11" s="14" t="s">
        <v>12</v>
      </c>
    </row>
  </sheetData>
  <mergeCells count="1">
    <mergeCell ref="A1:I1"/>
  </mergeCells>
  <phoneticPr fontId="2" type="noConversion"/>
  <dataValidations disablePrompts="1" count="1">
    <dataValidation type="decimal" operator="greaterThanOrEqual" allowBlank="1" error="数量必须是数字" promptTitle="数量 / Qty" prompt="请输入数字；可填整数或小数" sqref="I4:I11" xr:uid="{00000000-0002-0000-0600-000002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error="请从下拉列表中选择子类" promptTitle="子类 / Subcategory" prompt="请选择子类" xr:uid="{00000000-0002-0000-0600-000000000000}">
          <x14:formula1>
            <xm:f>'99_下拉选项'!$F$1:$F$24</xm:f>
          </x14:formula1>
          <xm:sqref>C4:C11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4"/>
  <sheetViews>
    <sheetView tabSelected="1" workbookViewId="0">
      <selection activeCell="D12" sqref="D12"/>
    </sheetView>
  </sheetViews>
  <sheetFormatPr defaultColWidth="9.1328125" defaultRowHeight="15" x14ac:dyDescent="0.5"/>
  <cols>
    <col min="1" max="1" width="15.265625" style="1" customWidth="1"/>
    <col min="2" max="2" width="19.3984375" style="1" customWidth="1"/>
    <col min="3" max="3" width="38" style="1" customWidth="1"/>
    <col min="4" max="4" width="27.73046875" style="1" customWidth="1"/>
    <col min="5" max="5" width="41.59765625" style="1" customWidth="1"/>
    <col min="6" max="6" width="46.73046875" style="1" customWidth="1"/>
    <col min="7" max="16384" width="9.1328125" style="1"/>
  </cols>
  <sheetData>
    <row r="1" spans="1:6" x14ac:dyDescent="0.5">
      <c r="A1" s="1" t="s">
        <v>93</v>
      </c>
      <c r="B1" s="1" t="s">
        <v>85</v>
      </c>
      <c r="C1" s="1" t="s">
        <v>23</v>
      </c>
      <c r="D1" s="1" t="s">
        <v>10</v>
      </c>
      <c r="E1" s="1" t="s">
        <v>53</v>
      </c>
      <c r="F1" s="1" t="s">
        <v>80</v>
      </c>
    </row>
    <row r="2" spans="1:6" x14ac:dyDescent="0.5">
      <c r="A2" s="1" t="s">
        <v>13</v>
      </c>
      <c r="B2" s="1" t="s">
        <v>157</v>
      </c>
      <c r="C2" s="1" t="s">
        <v>158</v>
      </c>
      <c r="D2" s="1" t="s">
        <v>15</v>
      </c>
      <c r="E2" s="1" t="s">
        <v>56</v>
      </c>
      <c r="F2" s="1" t="s">
        <v>87</v>
      </c>
    </row>
    <row r="3" spans="1:6" x14ac:dyDescent="0.5">
      <c r="B3" s="1" t="s">
        <v>159</v>
      </c>
      <c r="C3" s="1" t="s">
        <v>160</v>
      </c>
      <c r="D3" s="1" t="s">
        <v>34</v>
      </c>
      <c r="E3" s="1" t="s">
        <v>59</v>
      </c>
      <c r="F3" s="1" t="s">
        <v>95</v>
      </c>
    </row>
    <row r="4" spans="1:6" x14ac:dyDescent="0.5">
      <c r="B4" s="1" t="s">
        <v>161</v>
      </c>
      <c r="C4" s="1" t="s">
        <v>162</v>
      </c>
      <c r="E4" s="1" t="s">
        <v>62</v>
      </c>
      <c r="F4" s="1" t="s">
        <v>163</v>
      </c>
    </row>
    <row r="5" spans="1:6" x14ac:dyDescent="0.5">
      <c r="B5" s="1" t="s">
        <v>164</v>
      </c>
      <c r="C5" s="1" t="s">
        <v>165</v>
      </c>
      <c r="E5" s="1" t="s">
        <v>65</v>
      </c>
      <c r="F5" s="1" t="s">
        <v>98</v>
      </c>
    </row>
    <row r="6" spans="1:6" ht="15.75" customHeight="1" x14ac:dyDescent="0.5">
      <c r="B6" s="1" t="s">
        <v>166</v>
      </c>
      <c r="E6" s="1" t="s">
        <v>167</v>
      </c>
      <c r="F6" s="1" t="s">
        <v>105</v>
      </c>
    </row>
    <row r="7" spans="1:6" ht="15.75" customHeight="1" x14ac:dyDescent="0.5">
      <c r="F7" s="1" t="s">
        <v>168</v>
      </c>
    </row>
    <row r="8" spans="1:6" x14ac:dyDescent="0.5">
      <c r="F8" s="1" t="s">
        <v>108</v>
      </c>
    </row>
    <row r="9" spans="1:6" x14ac:dyDescent="0.5">
      <c r="F9" s="1" t="s">
        <v>116</v>
      </c>
    </row>
    <row r="10" spans="1:6" x14ac:dyDescent="0.5">
      <c r="F10" s="1" t="s">
        <v>118</v>
      </c>
    </row>
    <row r="11" spans="1:6" x14ac:dyDescent="0.5">
      <c r="F11" s="1" t="s">
        <v>121</v>
      </c>
    </row>
    <row r="12" spans="1:6" x14ac:dyDescent="0.5">
      <c r="F12" s="1" t="s">
        <v>127</v>
      </c>
    </row>
    <row r="13" spans="1:6" x14ac:dyDescent="0.5">
      <c r="F13" s="1" t="s">
        <v>130</v>
      </c>
    </row>
    <row r="14" spans="1:6" x14ac:dyDescent="0.5">
      <c r="F14" s="1" t="s">
        <v>139</v>
      </c>
    </row>
    <row r="15" spans="1:6" x14ac:dyDescent="0.5">
      <c r="F15" s="1" t="s">
        <v>137</v>
      </c>
    </row>
    <row r="16" spans="1:6" x14ac:dyDescent="0.5">
      <c r="F16" s="1" t="s">
        <v>140</v>
      </c>
    </row>
    <row r="17" spans="6:6" x14ac:dyDescent="0.5">
      <c r="F17" s="1" t="s">
        <v>144</v>
      </c>
    </row>
    <row r="18" spans="6:6" x14ac:dyDescent="0.5">
      <c r="F18" s="1" t="s">
        <v>149</v>
      </c>
    </row>
    <row r="19" spans="6:6" x14ac:dyDescent="0.5">
      <c r="F19" s="1" t="s">
        <v>147</v>
      </c>
    </row>
    <row r="20" spans="6:6" x14ac:dyDescent="0.5">
      <c r="F20" s="1" t="s">
        <v>154</v>
      </c>
    </row>
    <row r="21" spans="6:6" x14ac:dyDescent="0.5">
      <c r="F21" s="1" t="s">
        <v>155</v>
      </c>
    </row>
    <row r="22" spans="6:6" x14ac:dyDescent="0.5">
      <c r="F22" s="1" t="s">
        <v>153</v>
      </c>
    </row>
    <row r="23" spans="6:6" x14ac:dyDescent="0.5">
      <c r="F23" s="1" t="s">
        <v>169</v>
      </c>
    </row>
    <row r="24" spans="6:6" x14ac:dyDescent="0.5">
      <c r="F24" s="1" t="s">
        <v>156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01_项目基础信息</vt:lpstr>
      <vt:lpstr>02_CAPEX汇总</vt:lpstr>
      <vt:lpstr>03_光伏系统明细</vt:lpstr>
      <vt:lpstr>04_储能系统明细</vt:lpstr>
      <vt:lpstr>05_柴油机系统明细</vt:lpstr>
      <vt:lpstr>06_电气配套明细</vt:lpstr>
      <vt:lpstr>99_下拉选项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Xiaojing Lu</dc:creator>
  <cp:keywords/>
  <dc:description/>
  <cp:lastModifiedBy>Shengkai Pan</cp:lastModifiedBy>
  <cp:revision/>
  <dcterms:created xsi:type="dcterms:W3CDTF">2026-03-12T08:28:45Z</dcterms:created>
  <dcterms:modified xsi:type="dcterms:W3CDTF">2026-03-30T07:01:57Z</dcterms:modified>
  <cp:category/>
  <cp:contentStatus/>
</cp:coreProperties>
</file>
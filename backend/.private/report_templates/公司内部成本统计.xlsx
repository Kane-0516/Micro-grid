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anskai-work\PyPSA\MicroGrid\"/>
    </mc:Choice>
  </mc:AlternateContent>
  <xr:revisionPtr revIDLastSave="0" documentId="8_{B0DA07FF-16D2-4FB9-823B-BB037B4CC990}" xr6:coauthVersionLast="47" xr6:coauthVersionMax="47" xr10:uidLastSave="{00000000-0000-0000-0000-000000000000}"/>
  <bookViews>
    <workbookView xWindow="-98" yWindow="-98" windowWidth="23236" windowHeight="13875" firstSheet="10" activeTab="10" xr2:uid="{00000000-000D-0000-FFFF-FFFF00000000}"/>
  </bookViews>
  <sheets>
    <sheet name="00_填写说明" sheetId="1" r:id="rId1"/>
    <sheet name="01_项目基础信息" sheetId="2" r:id="rId2"/>
    <sheet name="02_CAPEX汇总" sheetId="3" r:id="rId3"/>
    <sheet name="03_光伏系统明细" sheetId="4" r:id="rId4"/>
    <sheet name="04_储能系统明细" sheetId="5" r:id="rId5"/>
    <sheet name="05_柴油机系统明细" sheetId="6" r:id="rId6"/>
    <sheet name="06_电气配套明细" sheetId="7" r:id="rId7"/>
    <sheet name="07_运输安装其他" sheetId="8" r:id="rId8"/>
    <sheet name="08_年度成本_OPEX" sheetId="9" r:id="rId9"/>
    <sheet name="09_柴油与能源参数" sheetId="10" r:id="rId10"/>
    <sheet name="10_柴油机维保参数" sheetId="11" r:id="rId11"/>
    <sheet name="11_汇总看板" sheetId="12" r:id="rId12"/>
    <sheet name="12_历史项目参考" sheetId="13" r:id="rId13"/>
    <sheet name="99_下拉选项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9" l="1"/>
  <c r="P13" i="8"/>
  <c r="P13" i="7"/>
  <c r="P11" i="6"/>
  <c r="P14" i="5"/>
  <c r="P13" i="4"/>
  <c r="B15" i="2"/>
  <c r="P7" i="5"/>
  <c r="J9" i="4"/>
  <c r="I5" i="4" l="1"/>
  <c r="P5" i="4" s="1"/>
  <c r="B14" i="2"/>
  <c r="E25" i="11"/>
  <c r="B15" i="12"/>
  <c r="B14" i="12"/>
  <c r="B13" i="12"/>
  <c r="B12" i="12"/>
  <c r="F5" i="12"/>
  <c r="E5" i="12"/>
  <c r="D5" i="12"/>
  <c r="C5" i="12"/>
  <c r="B5" i="12"/>
  <c r="A5" i="12"/>
  <c r="E30" i="11"/>
  <c r="E29" i="11"/>
  <c r="E28" i="11"/>
  <c r="E26" i="11"/>
  <c r="E27" i="11" s="1"/>
  <c r="E31" i="11" s="1"/>
  <c r="H8" i="9" s="1"/>
  <c r="K8" i="9" s="1"/>
  <c r="K11" i="9"/>
  <c r="K10" i="9"/>
  <c r="K9" i="9"/>
  <c r="K7" i="9"/>
  <c r="K6" i="9"/>
  <c r="B11" i="12" s="1"/>
  <c r="K5" i="9"/>
  <c r="D9" i="3"/>
  <c r="P12" i="8"/>
  <c r="P11" i="8"/>
  <c r="P10" i="8"/>
  <c r="P9" i="8"/>
  <c r="P8" i="8"/>
  <c r="P7" i="8"/>
  <c r="P6" i="8"/>
  <c r="P5" i="8"/>
  <c r="P12" i="7"/>
  <c r="P11" i="7"/>
  <c r="P10" i="7"/>
  <c r="P9" i="7"/>
  <c r="P8" i="7"/>
  <c r="P7" i="7"/>
  <c r="P6" i="7"/>
  <c r="P5" i="7"/>
  <c r="D8" i="3" s="1"/>
  <c r="D7" i="3"/>
  <c r="P10" i="6"/>
  <c r="P9" i="6"/>
  <c r="P8" i="6"/>
  <c r="P7" i="6"/>
  <c r="P6" i="6"/>
  <c r="P5" i="6"/>
  <c r="D6" i="3"/>
  <c r="P13" i="5"/>
  <c r="P12" i="5"/>
  <c r="P11" i="5"/>
  <c r="P10" i="5"/>
  <c r="P9" i="5"/>
  <c r="P8" i="5"/>
  <c r="P6" i="5"/>
  <c r="P5" i="5"/>
  <c r="P12" i="4"/>
  <c r="P11" i="4"/>
  <c r="P10" i="4"/>
  <c r="P9" i="4"/>
  <c r="P8" i="4"/>
  <c r="P7" i="4"/>
  <c r="P6" i="4"/>
  <c r="B16" i="12" l="1"/>
  <c r="D5" i="3"/>
  <c r="D11" i="3" s="1"/>
  <c r="B10" i="12" s="1"/>
</calcChain>
</file>

<file path=xl/sharedStrings.xml><?xml version="1.0" encoding="utf-8"?>
<sst xmlns="http://schemas.openxmlformats.org/spreadsheetml/2006/main" count="1286" uniqueCount="430">
  <si>
    <t>微电网项目成本填报模板（明细版） / Microgrid Project Cost Input Template (Detailed)</t>
    <phoneticPr fontId="2" type="noConversion"/>
  </si>
  <si>
    <t>这版模板适合新项目直接填报：支持同一系统下录入多个品牌/型号/子项，并自动汇总到 CAPEX 总表和项目看板。 / This version is designed for new projects and supports multiple brands, models, and sub-items under each system, with automatic roll-up to the CAPEX summary and project dashboard.</t>
  </si>
  <si>
    <t>推荐填写顺序 / Recommended Input Sequence</t>
    <phoneticPr fontId="2" type="noConversion"/>
  </si>
  <si>
    <t>1. 先在“01_项目基础信息”填写项目名称、国家、报价日期、系统规模。 / First fill in project name, country, quotation date, and system sizing in "01_项目基础信息".</t>
    <phoneticPr fontId="2" type="noConversion"/>
  </si>
  <si>
    <t>2. CAPEX 先从“03_光伏系统明细”“04_储能系统明细”“05_柴油机系统明细”“06_电气配套明细”“07_运输安装其他”逐项填品牌、型号、数量和单价。 / Then fill CAPEX line by line in the PV, BESS, diesel, electrical, and logistics/installation detail sheets, including brand, model, quantity, and unit price.</t>
    <phoneticPr fontId="2" type="noConversion"/>
  </si>
  <si>
    <t>3. 年度成本填“08_年度成本_OPEX”；柴油单价和假设填“09_柴油与能源参数”；柴油机维保参数填“10_柴油机维保参数”。 / Enter annual costs in "08_年度成本_OPEX", fuel assumptions in "09_柴油与能源参数", and diesel maintenance assumptions in "10_柴油机维保参数".</t>
  </si>
  <si>
    <t>4. “02_CAPEX汇总”自动汇总各明细页合计；“11_汇总看板”用于最终检查是否漏项。 / "02_CAPEX汇总" automatically summarizes each detail sheet; "11_汇总看板" is used for final completeness checks.</t>
  </si>
  <si>
    <t>补充说明：‘数量 / Qty’列只填写数字；单位请在‘数量单位 / Qty Unit’列填写或调整。币种请在‘币种 / Currency’列选择。 / Note: The Qty column should contain numbers only; units should be entered or adjusted in the Qty Unit column, and currency should be selected in the Currency column.</t>
  </si>
  <si>
    <t>你可以怎么填/How can you fill it in</t>
    <phoneticPr fontId="2" type="noConversion"/>
  </si>
  <si>
    <t>• 光伏组件：同一项目如果有 2~3 种型号，可分 2~3 行分别填。PV Modules: If the same project includes 2–3 different module models, they can be listed in 2–3 separate rows.</t>
    <phoneticPr fontId="2" type="noConversion"/>
  </si>
  <si>
    <t>• 储能系统：建议拆成 PCS、电池包、电池柜/集装箱、BMS/EMS、HVAC/消防等子项。Energy Storage System: It is recommended to break it down into sub-items such as PCS, battery packs, battery cabinets/containers, BMS/EMS, HVAC/fire protection, etc.</t>
    <phoneticPr fontId="2" type="noConversion"/>
  </si>
  <si>
    <t>• 电气配套：建议把 AC 电缆、DC 电缆、开关柜、变压器、通信监控等分别列出。Electrical Balance of System (BOS): It is recommended to list items separately, such as AC cables, DC cables, switchgear, transformers, communication and monitoring systems, etc.</t>
    <phoneticPr fontId="2" type="noConversion"/>
  </si>
  <si>
    <t>• 运输安装：建议把国际运输、内陆运输、吊装、安装、调试、差旅等分开填，方便后面复盘。Transportation &amp; Installation: It is recommended to separate international transportation, inland transportation, lifting/hoisting, installation, commissioning, and travel expenses, which makes later review and cost analysis easier.</t>
    <phoneticPr fontId="2" type="noConversion"/>
  </si>
  <si>
    <t>• 每个明细页都预留了额外空行；不够时也可以直接插入新行继续填。Additional Rows: Each detail sheet includes reserved blank rows. If they are not enough, you can insert new rows directly to continue filling in the information.</t>
    <phoneticPr fontId="2" type="noConversion"/>
  </si>
  <si>
    <t>颜色说明 / Color Legend</t>
  </si>
  <si>
    <t>颜色 / Color</t>
  </si>
  <si>
    <t>含义 / Meaning</t>
  </si>
  <si>
    <t>建议怎么用 / How to Use</t>
  </si>
  <si>
    <t>说明 / Notes</t>
  </si>
  <si>
    <t>浅蓝 / Light Blue</t>
  </si>
  <si>
    <t>输入区 / Input Area</t>
  </si>
  <si>
    <t>直接填写 / Type directly</t>
  </si>
  <si>
    <t>数量、单价、税费、备注等 / Qty, price, tax, remarks, etc.</t>
  </si>
  <si>
    <t>浅绿 / Light Green</t>
    <phoneticPr fontId="2" type="noConversion"/>
  </si>
  <si>
    <t>自动引用/参考 / Auto Link-Reference</t>
  </si>
  <si>
    <t>对照检查 / Review against source</t>
  </si>
  <si>
    <t>自动汇总、历史参考 / Auto roll-up, historical reference</t>
    <phoneticPr fontId="2" type="noConversion"/>
  </si>
  <si>
    <t>浅黄 / Light Yellow</t>
  </si>
  <si>
    <t>重点确认 / Key Check</t>
    <phoneticPr fontId="2" type="noConversion"/>
  </si>
  <si>
    <t>优先检查 / Review first</t>
    <phoneticPr fontId="2" type="noConversion"/>
  </si>
  <si>
    <t>项目基础信息、关键参数 / Project basics and key assumptions</t>
    <phoneticPr fontId="2" type="noConversion"/>
  </si>
  <si>
    <t>白色 / White</t>
  </si>
  <si>
    <t>公式或展示 / Formula-Display</t>
  </si>
  <si>
    <t>一般不用改 / Usually do not edit</t>
  </si>
  <si>
    <t>小计、合计、看板结果 / Subtotals, totals, dashboard results</t>
  </si>
  <si>
    <t>项目基础信息（新项目先填） / Project Basic Information (Fill First)</t>
  </si>
  <si>
    <t>项目信息 / Project Information</t>
  </si>
  <si>
    <t>字段 / Field</t>
  </si>
  <si>
    <t>填写值 / Input</t>
  </si>
  <si>
    <t>重要程度 / Priority</t>
  </si>
  <si>
    <t>来源/备注 / Source-Remarks</t>
  </si>
  <si>
    <t>是否确认 / Confirmed</t>
  </si>
  <si>
    <t>项目名称 / Project Name</t>
  </si>
  <si>
    <t>MGS微电网售前方案</t>
    <phoneticPr fontId="2" type="noConversion"/>
  </si>
  <si>
    <t>必填 / Required</t>
  </si>
  <si>
    <t>例如：XX 微电网售前方案 / Example: XX  Microgrid Proposal</t>
    <phoneticPr fontId="2" type="noConversion"/>
  </si>
  <si>
    <t/>
  </si>
  <si>
    <t>否 / No</t>
  </si>
  <si>
    <t>客户/业主 / Client-Owner</t>
  </si>
  <si>
    <t>建议填 / Recommended</t>
  </si>
  <si>
    <t>国家/地区 / Country-Region</t>
    <phoneticPr fontId="2" type="noConversion"/>
  </si>
  <si>
    <t>美国</t>
    <phoneticPr fontId="2" type="noConversion"/>
  </si>
  <si>
    <t>例如：菲律宾 / 印尼 / 沙特 / Example: Philippines / Indonesia / Saudi Arabia</t>
    <phoneticPr fontId="2" type="noConversion"/>
  </si>
  <si>
    <t>具体站点 / Site</t>
    <phoneticPr fontId="2" type="noConversion"/>
  </si>
  <si>
    <t>经纬度/Latitude and longitude</t>
    <phoneticPr fontId="2" type="noConversion"/>
  </si>
  <si>
    <t>报价日期 / Quotation Date</t>
  </si>
  <si>
    <t>项目阶段 / Project Stage</t>
  </si>
  <si>
    <t>售前初算 / Early Estimate</t>
  </si>
  <si>
    <t>系统规模与关键假设 / System Size &amp; Key Assumptions</t>
  </si>
  <si>
    <t>单位 / Unit</t>
  </si>
  <si>
    <t>备注 / Remarks</t>
  </si>
  <si>
    <t>光伏规模 / PV Size</t>
  </si>
  <si>
    <t>kWp</t>
    <phoneticPr fontId="2" type="noConversion"/>
  </si>
  <si>
    <t>储能规模 / BESS Size</t>
  </si>
  <si>
    <t>kWh</t>
    <phoneticPr fontId="2" type="noConversion"/>
  </si>
  <si>
    <t>建议填可用容量 / Enter usable energy if possible</t>
  </si>
  <si>
    <t>柴油机容量 / Diesel Size</t>
  </si>
  <si>
    <t>kW</t>
    <phoneticPr fontId="2" type="noConversion"/>
  </si>
  <si>
    <t>选填 / Optional</t>
  </si>
  <si>
    <t>如有多台机组可填合计 / Enter total if multiple gensets</t>
  </si>
  <si>
    <t>负荷日均用电量 / Daily Energy Demand</t>
  </si>
  <si>
    <t>千瓦时/天 / kWh/day</t>
    <phoneticPr fontId="2" type="noConversion"/>
  </si>
  <si>
    <t>设计年限 / Design Life</t>
  </si>
  <si>
    <t>年 / year</t>
  </si>
  <si>
    <t>用于后续经济性测算 / Used for later economic analysis</t>
  </si>
  <si>
    <t>基准币种 / Base Currency</t>
  </si>
  <si>
    <t>美元 / USD</t>
    <phoneticPr fontId="2" type="noConversion"/>
  </si>
  <si>
    <t>建议统一换算到 USD / Recommended to standardize to USD</t>
  </si>
  <si>
    <t>税费口径说明 / Tax Basis Notes</t>
  </si>
  <si>
    <t>例如：已含税 / 未含税 / Example: tax included / excluded</t>
  </si>
  <si>
    <t>项目备注 / Project Notes</t>
  </si>
  <si>
    <t>CAPEX 汇总（自动引用各明细页） / CAPEX Summary (Auto-Linked from Detail Sheets)</t>
  </si>
  <si>
    <t>这页只做检查和补充，不建议直接填总价。请尽量到各明细页按品牌/型号/子项逐行录入。 / This sheet is for review only. Please avoid entering lump-sum values directly here; instead, enter data line by line in the detail sheets by brand, model, and sub-item.</t>
  </si>
  <si>
    <t>序号 / No.</t>
  </si>
  <si>
    <t>成本模块 / Cost Module</t>
  </si>
  <si>
    <t>引用来源 / Source Sheet</t>
  </si>
  <si>
    <t>金额(USD) / Amount (USD)</t>
  </si>
  <si>
    <t>检查说明 / Review Notes</t>
  </si>
  <si>
    <t>状态 / Status</t>
  </si>
  <si>
    <t>光伏系统 / PV System</t>
  </si>
  <si>
    <t>03_光伏系统明细</t>
  </si>
  <si>
    <t>是否已拆到组件/逆变器/支架 / Check if split to modules, inverters, mounting</t>
  </si>
  <si>
    <t>储能系统 / BESS System</t>
  </si>
  <si>
    <t>04_储能系统明细</t>
  </si>
  <si>
    <t>是否已拆到 PCS/电池包/BMS 等 / Check if split to PCS, battery packs, BMS, etc.</t>
  </si>
  <si>
    <t>柴油机系统 / Diesel System</t>
  </si>
  <si>
    <t>05_柴油机系统明细</t>
  </si>
  <si>
    <t>是否包含 ATS/油箱/排烟 / Check if ATS, tank, exhaust are included</t>
  </si>
  <si>
    <t>电气配套 / Electrical Balance</t>
  </si>
  <si>
    <t>06_电气配套明细</t>
  </si>
  <si>
    <t>是否已拆到 AC/DC 电缆和开关柜 / Check if AC/DC cables and switchgear are split out</t>
  </si>
  <si>
    <t>运输安装其他 / Logistics &amp; Installation</t>
  </si>
  <si>
    <t>07_运输安装其他</t>
  </si>
  <si>
    <t>是否分开了运输/安装/调试 / Check if transport, installation, and commissioning are split</t>
  </si>
  <si>
    <t>CAPEX 总计 / Total CAPEX</t>
  </si>
  <si>
    <t>来自五个 CAPEX 明细页 / From the five CAPEX detail sheets</t>
  </si>
  <si>
    <t>否 / No</t>
    <phoneticPr fontId="2" type="noConversion"/>
  </si>
  <si>
    <t>光伏系统明细 / PV System Details</t>
  </si>
  <si>
    <t>填写提示：同一系统下不同品牌/型号/子项请分行填写。小计(USD)=数量×单价×汇率×(1+税费率)+运费+其他调整。 / Guidance: Enter different brands/models/sub-items on separate lines. Subtotal (USD) = Qty × Unit Price × FX × (1+Tax Rate) + Freight + Other Adjustments.</t>
  </si>
  <si>
    <t>系统分类 / System</t>
  </si>
  <si>
    <t>子类 / Subcategory</t>
  </si>
  <si>
    <t>设备/成本项 / Item</t>
  </si>
  <si>
    <t>品牌 / Brand</t>
  </si>
  <si>
    <t>型号 / Model</t>
  </si>
  <si>
    <t>规格/说明 / Specification-Description</t>
  </si>
  <si>
    <t>数量单位 / Qty Unit</t>
  </si>
  <si>
    <t>数量 / Qty</t>
  </si>
  <si>
    <t>单价(原币) / Unit Price (Local)</t>
  </si>
  <si>
    <t>币种 / Currency</t>
  </si>
  <si>
    <t>汇率→USD / FX to USD</t>
  </si>
  <si>
    <t>税费率 / Tax Rate</t>
  </si>
  <si>
    <t>运费(USD) / Freight (USD)</t>
  </si>
  <si>
    <t>其他调整(USD) / Other Adj. (USD)</t>
  </si>
  <si>
    <t>小计(USD) / Subtotal (USD)</t>
  </si>
  <si>
    <t>价格来源/供应商 / Price Source-Supplier</t>
  </si>
  <si>
    <t>纳入总计? / Include?</t>
  </si>
  <si>
    <t>组件 / Module</t>
  </si>
  <si>
    <t>光伏组件 / PV Module</t>
  </si>
  <si>
    <t>正泰/Astronergy</t>
    <phoneticPr fontId="2" type="noConversion"/>
  </si>
  <si>
    <t>ASTRO 6 Twins – CHSM66M(DG)/F-BH</t>
    <phoneticPr fontId="2" type="noConversion"/>
  </si>
  <si>
    <t>Wp</t>
    <phoneticPr fontId="2" type="noConversion"/>
  </si>
  <si>
    <t>美元 / USD</t>
  </si>
  <si>
    <t>是 / Yes</t>
    <phoneticPr fontId="2" type="noConversion"/>
  </si>
  <si>
    <t>第二种型号可另起一行 / Use another row for a second model</t>
  </si>
  <si>
    <t>逆变器 / Inverter</t>
  </si>
  <si>
    <t>组串逆变器 / String Inverter</t>
  </si>
  <si>
    <t>Sol-Ark</t>
    <phoneticPr fontId="2" type="noConversion"/>
  </si>
  <si>
    <t>Sol-Ark 18K 2P-N</t>
    <phoneticPr fontId="2" type="noConversion"/>
  </si>
  <si>
    <t>18kW</t>
    <phoneticPr fontId="2" type="noConversion"/>
  </si>
  <si>
    <t>套 / set</t>
  </si>
  <si>
    <t>是 / Yes</t>
  </si>
  <si>
    <t>汇流箱 / Combine</t>
    <phoneticPr fontId="2" type="noConversion"/>
  </si>
  <si>
    <t>支架 / Mounting</t>
  </si>
  <si>
    <t>光伏支架 / PV Mounting</t>
  </si>
  <si>
    <t>自研/Proprietary equipment</t>
    <phoneticPr fontId="2" type="noConversion"/>
  </si>
  <si>
    <t>voltage energy</t>
    <phoneticPr fontId="2" type="noConversion"/>
  </si>
  <si>
    <t>连接器/辅材 / Connectors-Auxiliary</t>
  </si>
  <si>
    <t>连接器/MC4 / Connectors-MC4</t>
  </si>
  <si>
    <t>项 / lot</t>
  </si>
  <si>
    <t>直流汇流/线盒 / DC Combiner-Junction Box</t>
  </si>
  <si>
    <t>其他光伏辅材 / Other PV Auxiliary</t>
  </si>
  <si>
    <t>合计 / Total</t>
  </si>
  <si>
    <t>仅统计“纳入总计?=是 / Yes”的行 / Only rows marked "Include? = Yes" are counted</t>
  </si>
  <si>
    <t>储能系统明细 / BESS System Details</t>
  </si>
  <si>
    <t>储能系统 / BESS System</t>
    <phoneticPr fontId="2" type="noConversion"/>
  </si>
  <si>
    <t>PCS / PCS</t>
  </si>
  <si>
    <t>储能变流器 PCS / PCS</t>
  </si>
  <si>
    <t>如：250kW/500kW / e.g. 250kW/500kW</t>
    <phoneticPr fontId="2" type="noConversion"/>
  </si>
  <si>
    <t>电池包 / Battery Pack</t>
  </si>
  <si>
    <t>电池包/模组 / Battery Pack-Module</t>
  </si>
  <si>
    <t>Discover Energy Systems</t>
    <phoneticPr fontId="2" type="noConversion"/>
  </si>
  <si>
    <t>HELIOS ESS 52-48-16000</t>
    <phoneticPr fontId="2" type="noConversion"/>
  </si>
  <si>
    <t>16.08 kWh</t>
    <phoneticPr fontId="2" type="noConversion"/>
  </si>
  <si>
    <t>pack</t>
  </si>
  <si>
    <t>光储一体化托盘/PV-ESS Integrated Pallet</t>
  </si>
  <si>
    <t>一体化托盘/Integrated pallet</t>
    <phoneticPr fontId="2" type="noConversion"/>
  </si>
  <si>
    <t>电池柜/集装箱 / Battery Cabinet-Container</t>
  </si>
  <si>
    <t>电池柜/电池簇 / Battery Cabinet-String</t>
    <phoneticPr fontId="2" type="noConversion"/>
  </si>
  <si>
    <t>BMS/EMS / BMS-EMS</t>
  </si>
  <si>
    <t>BMS / BMS</t>
  </si>
  <si>
    <t>EMS/能量管理 / EMS-Energy Management</t>
  </si>
  <si>
    <t>HVAC/消防 / HVAC-Fire</t>
  </si>
  <si>
    <t>空调/HVAC / HVAC</t>
  </si>
  <si>
    <t>消防系统 / Fire Suppression</t>
  </si>
  <si>
    <t>套 / set</t>
    <phoneticPr fontId="2" type="noConversion"/>
  </si>
  <si>
    <t>储能辅材/铜排 / BESS Auxiliary-Busbar</t>
    <phoneticPr fontId="2" type="noConversion"/>
  </si>
  <si>
    <t>合计 / Total</t>
    <phoneticPr fontId="2" type="noConversion"/>
  </si>
  <si>
    <t>柴油机系统明细 / Diesel System Details</t>
  </si>
  <si>
    <t>柴油发电机 / Diesel Generator</t>
  </si>
  <si>
    <t>柴油发电机组 / Diesel Generator Set</t>
  </si>
  <si>
    <t>40kW</t>
    <phoneticPr fontId="2" type="noConversion"/>
  </si>
  <si>
    <t>油箱/ATS / Tank-ATS</t>
  </si>
  <si>
    <t>ATS/并机柜 / ATS-Paralleling Panel</t>
  </si>
  <si>
    <t>日用油箱/底座油箱 / Day Tank-Base Tank</t>
  </si>
  <si>
    <t>排烟/消音系统 / Exhaust-Silencer</t>
  </si>
  <si>
    <t>启动电池/充电器 / Starter Battery-Charger</t>
  </si>
  <si>
    <t>柴油机辅材 / Diesel Auxiliary</t>
  </si>
  <si>
    <t>电气配套明细 / Electrical Balance Details</t>
  </si>
  <si>
    <t>开关柜 / Switchgear</t>
  </si>
  <si>
    <t>低压开关柜/配电柜 / LV Switchboard-Distribution Panel</t>
  </si>
  <si>
    <t>变压器 / Transformer</t>
  </si>
  <si>
    <t>AC电缆 / AC Cable</t>
  </si>
  <si>
    <t>交流电缆 / AC Cable</t>
  </si>
  <si>
    <t>可按回路分行 / Split by feeder if needed</t>
  </si>
  <si>
    <t>米 / m</t>
  </si>
  <si>
    <t>DC电缆 / DC Cable</t>
  </si>
  <si>
    <t>直流电缆 / DC Cable</t>
  </si>
  <si>
    <t>可按规格分行 / Split by size if needed</t>
  </si>
  <si>
    <t>接地防雷 / Grounding-Lightning</t>
  </si>
  <si>
    <t>接地与防雷 / Grounding &amp; Lightning</t>
  </si>
  <si>
    <t>通信监控 / Communication-SCADA</t>
  </si>
  <si>
    <t>通信监控/SCADA / Communication-SCADA</t>
    <phoneticPr fontId="2" type="noConversion"/>
  </si>
  <si>
    <t>桥架/线槽/端子 / Cable Tray-Trunking-Terminals</t>
  </si>
  <si>
    <t>其他电气配套 / Other Electrical Balance</t>
  </si>
  <si>
    <t>运输安装其他明细 / Logistics &amp; Installation Details</t>
  </si>
  <si>
    <t>运输 / Transportation</t>
  </si>
  <si>
    <t>国际运输 / International Transportation</t>
  </si>
  <si>
    <t>国内/内陆运输 / Domestic-Inland Transportation</t>
  </si>
  <si>
    <t>安装 / Installation</t>
  </si>
  <si>
    <t>安装人工 / Installation Labor</t>
  </si>
  <si>
    <t>项 / lot</t>
    <phoneticPr fontId="2" type="noConversion"/>
  </si>
  <si>
    <t>估算</t>
    <phoneticPr fontId="2" type="noConversion"/>
  </si>
  <si>
    <t>调试 / Commissioning</t>
  </si>
  <si>
    <t>调试/试运行 / Commissioning-Test Run</t>
  </si>
  <si>
    <t>吊装/叉车/机具 / Crane-Forklift-Tools</t>
  </si>
  <si>
    <t>关税/清关 /Customs Clearance</t>
    <phoneticPr fontId="2" type="noConversion"/>
  </si>
  <si>
    <t>清关/报关 / Customs Clearance</t>
  </si>
  <si>
    <t>其他 / Other</t>
  </si>
  <si>
    <t>差旅/住宿 / Travel-Accommodation</t>
  </si>
  <si>
    <t>预备费/其他调整 / Contingency-Other Adjustment</t>
  </si>
  <si>
    <t>年度成本（OPEX）录入 / Annual Cost (OPEX) Input</t>
  </si>
  <si>
    <t>柴油机年度保养会自动根据 09 页运行小时和 10 页维保参数测算；其他年度费用仍可手工填写。 / Annual diesel maintenance is auto-calculated from runtime on Sheet 09 and maintenance parameters on Sheet 10; other annual costs can still be entered manually.</t>
  </si>
  <si>
    <t>成本分类 / Cost Category</t>
  </si>
  <si>
    <t>成本项目 / Cost Item</t>
  </si>
  <si>
    <t>计算口径/说明 / Basis-Description</t>
  </si>
  <si>
    <t>数量/频次 / Qty-Frequency</t>
  </si>
  <si>
    <t>年费用(USD) / Annual Cost (USD)</t>
  </si>
  <si>
    <t>来源/依据 / Source-Basis</t>
  </si>
  <si>
    <t>年度固定运维 / Annual Fixed O&amp;M</t>
  </si>
  <si>
    <t>运维 / O&amp;M</t>
  </si>
  <si>
    <t>微电网运维费用 / Microgrid O&amp;M</t>
  </si>
  <si>
    <t>固定年费 / Fixed Annual Fee</t>
  </si>
  <si>
    <t>维修 / Repair</t>
  </si>
  <si>
    <t>设备维修费用 / Equipment Repair</t>
  </si>
  <si>
    <t>保险 / Insurance</t>
  </si>
  <si>
    <t>保险费用 / Insurance</t>
  </si>
  <si>
    <t>维保 / Maintenance</t>
  </si>
  <si>
    <t>柴油机年度保养 / Annual Diesel Maintenance</t>
  </si>
  <si>
    <t>自动计算：运行小时+维保参数 / Auto calc: runtime + maintenance params</t>
  </si>
  <si>
    <t>自动引用 09+10 页 / Auto-linked from Sheets 09+10</t>
    <phoneticPr fontId="2" type="noConversion"/>
  </si>
  <si>
    <t>空白时取默认值 / Blank uses default</t>
  </si>
  <si>
    <t>通信 / Communication</t>
  </si>
  <si>
    <t>远程监控/通信 / Remote Monitoring-Communication</t>
  </si>
  <si>
    <t>租赁/土地 / Lease-Land</t>
  </si>
  <si>
    <t>场地租赁/地租 / Site Lease-Land Rent</t>
  </si>
  <si>
    <t>其他年度费用 / Other Annual Cost</t>
  </si>
  <si>
    <t>OPEX 合计</t>
  </si>
  <si>
    <t>柴油与能源参数 / Fuel &amp; Energy Parameters</t>
  </si>
  <si>
    <t>建议至少填写柴油单价和柴油机预计年运行小时；其中年运行小时会参与柴油机年度保养自动测算。 / At minimum, fill in diesel price and estimated annual diesel runtime; runtime feeds the auto-calculation of annual diesel maintenance.</t>
  </si>
  <si>
    <t>参数分类 / Parameter Category</t>
  </si>
  <si>
    <t>参数名称 / Parameter</t>
  </si>
  <si>
    <t>参数单位 / Unit</t>
  </si>
  <si>
    <t>参数值 / Value</t>
  </si>
  <si>
    <t>说明/备注 / Notes</t>
  </si>
  <si>
    <t>燃料参数 / Fuel</t>
  </si>
  <si>
    <t>柴油单价 / Diesel Price</t>
  </si>
  <si>
    <t>美元/升 / USD/L</t>
  </si>
  <si>
    <t>历史项目参考值为 0.95 USD/L</t>
  </si>
  <si>
    <t>柴油到站额外运费 / Delivered Fuel Adder</t>
  </si>
  <si>
    <t>已含在油价时可留空</t>
  </si>
  <si>
    <t>运行口径 / Operating Basis</t>
  </si>
  <si>
    <t>柴油机预计年运行小时 / Estimated Annual Diesel Runtime</t>
  </si>
  <si>
    <t>小时/年 / h/year</t>
  </si>
  <si>
    <t>可用于估算保养频次</t>
  </si>
  <si>
    <t>柴油机平均负载率 / Average Diesel Load Factor</t>
  </si>
  <si>
    <t>百分比 / %</t>
  </si>
  <si>
    <t>例如 30%~80%</t>
  </si>
  <si>
    <t>预计年耗油量 / Estimated Annual Fuel Use</t>
  </si>
  <si>
    <t>L/year</t>
  </si>
  <si>
    <t>已有经验值时可填</t>
  </si>
  <si>
    <t>油价敏感性上浮 / Fuel Price Upside Sensitivity</t>
  </si>
  <si>
    <t>例如 10%</t>
  </si>
  <si>
    <t>柴油发电机维保参数 / Diesel Maintenance Parameters</t>
  </si>
  <si>
    <t>建议先沿用默认值，再按机组型号、人工单价或地区修正；“本项目调整后”优先用于柴油机年度保养自动计算。 / Start with defaults, then adjust for genset model, labor rate, or region; 'Adjusted for This Project' takes precedence in annual diesel maintenance auto-calculation.</t>
  </si>
  <si>
    <t>参数代码 / Code</t>
  </si>
  <si>
    <t>默认值 / Default</t>
  </si>
  <si>
    <t>本项目调整后 / Adjusted for This Project</t>
  </si>
  <si>
    <t>小保养间隔 / Minor Service Interval</t>
  </si>
  <si>
    <t>S_oil</t>
  </si>
  <si>
    <t>小时 / h</t>
  </si>
  <si>
    <t>每隔该小时执行小保养 / Minor service every N hours</t>
  </si>
  <si>
    <t>每次保养工时 / Labor Hours per Service</t>
  </si>
  <si>
    <t>t_pm</t>
  </si>
  <si>
    <t>小保养人工时 / Labor hours for minor service</t>
  </si>
  <si>
    <t>每次换油量 / Oil Volume per Service</t>
  </si>
  <si>
    <t>V_oil</t>
  </si>
  <si>
    <t>加仑 / gal</t>
  </si>
  <si>
    <t>每次更换机油量 / Oil replaced each service</t>
  </si>
  <si>
    <t>机油单价 / Engine Oil Unit Price</t>
  </si>
  <si>
    <t>P_oil</t>
  </si>
  <si>
    <t>美元/加仑 / USD/gal</t>
  </si>
  <si>
    <t>机油单价 / Unit price of engine oil</t>
  </si>
  <si>
    <t>机油滤芯价格 / Oil Filter Cost</t>
  </si>
  <si>
    <t>C_of</t>
  </si>
  <si>
    <t>柴油滤芯价格 / Fuel Filter Cost</t>
  </si>
  <si>
    <t>C_ff</t>
  </si>
  <si>
    <t>空气滤芯价格 / Air Filter Cost</t>
  </si>
  <si>
    <t>C_af</t>
  </si>
  <si>
    <t>默认每 2 次 PM 换 1 只 / Default: one filter every 2 PM services</t>
  </si>
  <si>
    <t>人工费率 / Labor Rate</t>
  </si>
  <si>
    <t>labor_rate</t>
  </si>
  <si>
    <t>美元/小时 / USD/h</t>
  </si>
  <si>
    <t>维保人工费率 / Maintenance labor rate</t>
  </si>
  <si>
    <t>空滤间隔 / Air Filter Interval</t>
  </si>
  <si>
    <t>S_air</t>
  </si>
  <si>
    <t>选填 / Optional</t>
    <phoneticPr fontId="2" type="noConversion"/>
  </si>
  <si>
    <t>参考每 2 次保养换 1 只 / Reference: replace every 2 services</t>
    <phoneticPr fontId="2" type="noConversion"/>
  </si>
  <si>
    <t>冷却液周期 / Coolant Replacement Interval</t>
  </si>
  <si>
    <t>coolant_interval_years</t>
  </si>
  <si>
    <t>每 N 年更换一次 / Replace every N years</t>
    <phoneticPr fontId="2" type="noConversion"/>
  </si>
  <si>
    <t>冷却液量 / Coolant Volume</t>
  </si>
  <si>
    <t>coolant_gal_per_service</t>
  </si>
  <si>
    <t>每次更换体积 / Volume per service</t>
  </si>
  <si>
    <t>冷却液单价 / Coolant Unit Price</t>
  </si>
  <si>
    <t>P_coolant</t>
  </si>
  <si>
    <t>冷却液工时 / Coolant Labor Hours</t>
  </si>
  <si>
    <t>t_coolant</t>
  </si>
  <si>
    <t>启动电池更换周期 / Starter Battery Interval</t>
  </si>
  <si>
    <t>battery_interval_years</t>
  </si>
  <si>
    <t>每 N 年更换一次 / Replace every N years</t>
  </si>
  <si>
    <t>启动电池价格 / Starter Battery Cost</t>
  </si>
  <si>
    <t>C_start_battery</t>
  </si>
  <si>
    <t>启动电池更换工时 / Starter Battery Labor Hours</t>
  </si>
  <si>
    <t>t_battery</t>
  </si>
  <si>
    <t>自动测算结果 / Auto Calculated Outputs</t>
  </si>
  <si>
    <t>计算项 / Calculated Item</t>
  </si>
  <si>
    <t>数值 / Value</t>
  </si>
  <si>
    <t>预计年运行小时 / Annual Runtime</t>
  </si>
  <si>
    <t>年小保养次数 / Minor Services per Year</t>
  </si>
  <si>
    <t>年小保养成本 / Annual Minor Service Cost</t>
  </si>
  <si>
    <t>年空气滤芯成本 / Annual Air Filter Cost</t>
  </si>
  <si>
    <t>年冷却液成本 / Annual Coolant Cost</t>
  </si>
  <si>
    <t>年启动电池成本 / Annual Starter Battery Cost</t>
  </si>
  <si>
    <t>年度保养费用合计 / Annual Maintenance Total</t>
  </si>
  <si>
    <t>项目成本汇总看板 / Project Cost Dashboard</t>
  </si>
  <si>
    <t>项目概览 / Project Overview</t>
  </si>
  <si>
    <t>国家/地区 / Country-Region</t>
  </si>
  <si>
    <t>关键汇总 / Key Summary</t>
  </si>
  <si>
    <t>指标 / KPI</t>
  </si>
  <si>
    <t>取数逻辑 / Source Logic</t>
  </si>
  <si>
    <t>一次性总成本 CAPEX / Total CAPEX</t>
  </si>
  <si>
    <t>来自 CAPEX 汇总 / From CAPEX Summary</t>
  </si>
  <si>
    <t>重点看是否明显偏低/偏高 / Check for unusually low/high total</t>
  </si>
  <si>
    <t>年度固定费用 OPEX / Annual Fixed OPEX</t>
  </si>
  <si>
    <t>美元/年 / USD/year</t>
  </si>
  <si>
    <t>来自 OPEX 合计 / From OPEX Total</t>
  </si>
  <si>
    <t>来自柴油参数首行 / From Fuel Parameters</t>
  </si>
  <si>
    <t>基础信息 / Project Basics</t>
  </si>
  <si>
    <t>已填 CAPEX 明细行数 / Filled CAPEX Line Items</t>
  </si>
  <si>
    <t>行</t>
  </si>
  <si>
    <t>用于判断是否已拆够细 / Indicates input detail level</t>
  </si>
  <si>
    <t>成本统计</t>
  </si>
  <si>
    <t>序号 /numerical orde</t>
  </si>
  <si>
    <t>分类 / Category</t>
  </si>
  <si>
    <t>价格（含税）/ Price (incl. tax)</t>
  </si>
  <si>
    <t>初始成本 / Initial cost</t>
  </si>
  <si>
    <t>光伏组件（含运输） PV module package (incl. transportation)</t>
  </si>
  <si>
    <t>'=0.32*41.92*2*1000</t>
  </si>
  <si>
    <t>组件按单瓦 0.32 美元/瓦；Module price calculated at $0.32/W</t>
  </si>
  <si>
    <t>光伏支架 PV mounting structure</t>
  </si>
  <si>
    <t>'=12700*4*1.5</t>
  </si>
  <si>
    <t>含 50% 关税；Includes 50% import duty</t>
  </si>
  <si>
    <t>储能系统（含运输） Energy storage system (incl. transportation)</t>
  </si>
  <si>
    <t>'=3*7500+16*3100+4000</t>
  </si>
  <si>
    <t>逆变器+电池包+托盘 =（3×7,500 + 16×3,100 + 4,000）；Inverters + battery packs + pallets = (3×7,500 + 16×3,100 + 4,000)</t>
  </si>
  <si>
    <t>柴油发电机 Diesel generator set</t>
  </si>
  <si>
    <t>国际运输 International transportation</t>
  </si>
  <si>
    <t>'=3600*3</t>
  </si>
  <si>
    <t>国内零件运输 —— 国外项目运输；Domestic component transport—— overseas project delivery</t>
  </si>
  <si>
    <t>一次性全部安装费用 One-time full installation cost</t>
  </si>
  <si>
    <t>'=5000</t>
  </si>
  <si>
    <t>工人 5 人，每人每天 400 美元；Five workers, $400 per worker per day</t>
  </si>
  <si>
    <t>其他配件费用 Other accessory costs</t>
  </si>
  <si>
    <t>'=26000+500+500+1000+200+300</t>
  </si>
  <si>
    <t>配电箱(26,000)、直流线缆(500+500+1000)、交流线缆(200)、电池辅材(300)；Distribution box (26,000), DC cables (500+500+1000), AC cables (200), battery accessories (300)</t>
  </si>
  <si>
    <t>微电网运维费用（年） PV &amp; storage O&amp;M cost (per year)</t>
  </si>
  <si>
    <t>——</t>
  </si>
  <si>
    <t>设备维修费用（年） Equipment repair cost (per year)</t>
  </si>
  <si>
    <t>保险费用（年） Insurance cost (per year)</t>
  </si>
  <si>
    <t>具体金额需咨询保险公司；Exact amount to be confirmed with insurance company</t>
  </si>
  <si>
    <t>柴油消耗 /diesel consumption</t>
  </si>
  <si>
    <t>柴油单价（每升） Diesel price per liter</t>
  </si>
  <si>
    <t>可根据国际油价调整；It can be adjusted according to international oil prices</t>
  </si>
  <si>
    <t>柴油发电机运维 / Diesel generator O&amp;M</t>
  </si>
  <si>
    <t>小保养间隔h (S_oil)</t>
  </si>
  <si>
    <t>每隔该小时执行小保养（换油+燃油滤）；Minor service interval in hours (engine oil + fuel filter replacement)</t>
  </si>
  <si>
    <t>每次保养工时h (t_pm)</t>
  </si>
  <si>
    <t>小保养人工时（更换机油/滤芯、检查）；Labor hours per minor service (oil/filter replacement, inspection)</t>
  </si>
  <si>
    <t>每次换油量gal (V_oil)</t>
  </si>
  <si>
    <t>每次小保养更换机油量；Engine oil volume replaced per minor service</t>
  </si>
  <si>
    <t>机油 $/gal (P_oil)</t>
  </si>
  <si>
    <t>机油单价；Unit price of engine oil ($/gal)</t>
  </si>
  <si>
    <t>机油滤芯$ (C_of)</t>
  </si>
  <si>
    <t>机油滤芯价格；Price of engine oil filter</t>
  </si>
  <si>
    <t>柴油滤芯$ (C_ff)</t>
  </si>
  <si>
    <t>燃油滤芯价格；Price of diesel fuel filter</t>
  </si>
  <si>
    <t>空气滤芯$ (C_af)</t>
  </si>
  <si>
    <t>空气滤芯价格（默认：每2次PM换1只）；Price of air filter (default: one filter every 2 PM services)</t>
  </si>
  <si>
    <t>人工 $/h (labor_rate)</t>
  </si>
  <si>
    <t>维保人工费率（$/小时）；Maintenance labor rate ($/h)</t>
  </si>
  <si>
    <t>空滤间隔h (S_air)</t>
  </si>
  <si>
    <t>参考：每2次保养换1只即可；Reference interval: replace one air filter every 2 minor services</t>
  </si>
  <si>
    <t>冷却液周期年 (coolant_interval_years)</t>
  </si>
  <si>
    <t>每 N 年更换一次冷却液；Coolant replacement interval (every N years)</t>
  </si>
  <si>
    <t>冷却液量gal (coolant_gal_per_service)</t>
  </si>
  <si>
    <t>每次更换冷却液体积；Coolant volume per replacement (gal)</t>
  </si>
  <si>
    <t>冷却液 $/gal (P_coolant)</t>
  </si>
  <si>
    <t>冷却液单价；Unit price of coolant ($/gal)</t>
  </si>
  <si>
    <t>冷却液工时h (coolant_labor_hours)</t>
  </si>
  <si>
    <t>冷却液更换人工时；Labor hours per coolant replacement</t>
  </si>
  <si>
    <t>电池周期年 (battery_interval_years)</t>
  </si>
  <si>
    <t>每 N 年更换一次启动电池；Starter battery replacement interval (every N years)</t>
  </si>
  <si>
    <t>电池价格$ (C_battery)</t>
  </si>
  <si>
    <t>电池价格；Price of starter battery</t>
  </si>
  <si>
    <t>电池工时h (battery_labor_hours)</t>
  </si>
  <si>
    <t>更换电池人工时；Labor hours per battery replacement</t>
  </si>
  <si>
    <t>说明：这一页保留你上传的历史项目成本表内容，公式已转成文本，仅作为参考。 / Note: This sheet preserves your uploaded historical cost table. Formulas are converted to text and kept for reference only.</t>
  </si>
  <si>
    <t>人民币 / CNY</t>
  </si>
  <si>
    <t>客户沟通中 / In Discussion</t>
  </si>
  <si>
    <t>欧元 / EUR</t>
  </si>
  <si>
    <t>报价确认中 / Quotation Review</t>
  </si>
  <si>
    <t>英镑 / GBP</t>
  </si>
  <si>
    <t>已提交 / Submitted</t>
  </si>
  <si>
    <t>汇流箱/配电箱 / Combiner-Switchboard</t>
  </si>
  <si>
    <t>日元 / JPY</t>
  </si>
  <si>
    <t>中标后复盘 / Post-Award Review</t>
  </si>
  <si>
    <t>自定义 / Custom</t>
  </si>
  <si>
    <t>年度成本 / Annual OPEX</t>
  </si>
  <si>
    <t>光储一体化托盘/PV-ESS Integrated Pallet</t>
    <phoneticPr fontId="2" type="noConversion"/>
  </si>
  <si>
    <t>关税/清关 / Customs-Clearance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</si>
</sst>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26" formatCode="\$#,##0.00_);[Red]\(\$#,##0.00\)"/>
    <numFmt numFmtId="176" formatCode="#,##0.00;[Red]\(#,##0.00\);\-"/>
    <numFmt numFmtId="177" formatCode="\$#,##0.00;[Red]\(\$#,##0.00\);\-"/>
    <numFmt numFmtId="178" formatCode="0.0000"/>
    <numFmt numFmtId="179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4"/>
      <color rgb="FFFFFFFF"/>
      <name val="微软雅黑"/>
      <family val="2"/>
      <charset val="134"/>
    </font>
    <font>
      <b/>
      <sz val="11"/>
      <name val="微软雅黑"/>
      <family val="2"/>
      <charset val="134"/>
    </font>
    <font>
      <i/>
      <sz val="1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9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8000"/>
      <name val="微软雅黑"/>
      <family val="2"/>
      <charset val="134"/>
    </font>
    <font>
      <i/>
      <sz val="9"/>
      <color rgb="FF666666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FCE4D6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BFBFBF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7" fillId="5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77" fontId="3" fillId="7" borderId="1" xfId="1" applyNumberFormat="1" applyFont="1" applyFill="1" applyBorder="1" applyAlignment="1">
      <alignment horizontal="left" vertical="center" wrapText="1"/>
    </xf>
    <xf numFmtId="177" fontId="3" fillId="0" borderId="0" xfId="1" applyNumberFormat="1" applyFont="1"/>
    <xf numFmtId="0" fontId="7" fillId="5" borderId="1" xfId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 wrapText="1"/>
    </xf>
    <xf numFmtId="176" fontId="3" fillId="6" borderId="1" xfId="1" applyNumberFormat="1" applyFont="1" applyFill="1" applyBorder="1" applyAlignment="1">
      <alignment horizontal="center" vertical="center"/>
    </xf>
    <xf numFmtId="177" fontId="3" fillId="6" borderId="1" xfId="1" applyNumberFormat="1" applyFont="1" applyFill="1" applyBorder="1" applyAlignment="1">
      <alignment horizontal="center" vertical="center"/>
    </xf>
    <xf numFmtId="178" fontId="3" fillId="6" borderId="1" xfId="1" applyNumberFormat="1" applyFont="1" applyFill="1" applyBorder="1" applyAlignment="1">
      <alignment horizontal="center" vertical="center"/>
    </xf>
    <xf numFmtId="179" fontId="3" fillId="6" borderId="1" xfId="1" applyNumberFormat="1" applyFont="1" applyFill="1" applyBorder="1" applyAlignment="1">
      <alignment horizontal="center" vertical="center"/>
    </xf>
    <xf numFmtId="177" fontId="3" fillId="0" borderId="1" xfId="1" applyNumberFormat="1" applyFont="1" applyBorder="1" applyAlignment="1">
      <alignment horizontal="center" vertical="center"/>
    </xf>
    <xf numFmtId="26" fontId="3" fillId="6" borderId="1" xfId="1" applyNumberFormat="1" applyFont="1" applyFill="1" applyBorder="1" applyAlignment="1">
      <alignment horizontal="center" vertical="center"/>
    </xf>
    <xf numFmtId="26" fontId="3" fillId="0" borderId="1" xfId="1" applyNumberFormat="1" applyFont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177" fontId="3" fillId="6" borderId="1" xfId="1" applyNumberFormat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center" vertical="center"/>
    </xf>
    <xf numFmtId="176" fontId="3" fillId="0" borderId="1" xfId="1" applyNumberFormat="1" applyFont="1" applyBorder="1" applyAlignment="1">
      <alignment horizontal="left" vertical="center" wrapText="1"/>
    </xf>
    <xf numFmtId="177" fontId="3" fillId="0" borderId="1" xfId="1" applyNumberFormat="1" applyFont="1" applyBorder="1" applyAlignment="1">
      <alignment horizontal="left" vertical="center" wrapText="1"/>
    </xf>
    <xf numFmtId="0" fontId="3" fillId="7" borderId="1" xfId="1" applyFont="1" applyFill="1" applyBorder="1"/>
    <xf numFmtId="0" fontId="8" fillId="9" borderId="4" xfId="1" applyFont="1" applyFill="1" applyBorder="1" applyAlignment="1">
      <alignment vertical="center" wrapText="1"/>
    </xf>
    <xf numFmtId="0" fontId="9" fillId="0" borderId="4" xfId="1" applyFont="1" applyBorder="1" applyAlignment="1">
      <alignment vertical="top" wrapText="1"/>
    </xf>
    <xf numFmtId="0" fontId="10" fillId="7" borderId="4" xfId="1" applyFont="1" applyFill="1" applyBorder="1" applyAlignment="1">
      <alignment vertical="top" wrapText="1"/>
    </xf>
    <xf numFmtId="0" fontId="11" fillId="0" borderId="0" xfId="1" applyFont="1"/>
    <xf numFmtId="0" fontId="9" fillId="0" borderId="4" xfId="1" applyFont="1" applyBorder="1" applyAlignment="1">
      <alignment horizontal="center" vertical="center" wrapText="1"/>
    </xf>
    <xf numFmtId="0" fontId="5" fillId="10" borderId="1" xfId="1" applyFont="1" applyFill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3" fillId="0" borderId="3" xfId="1" applyFont="1" applyBorder="1" applyAlignment="1">
      <alignment vertical="center" wrapText="1"/>
    </xf>
    <xf numFmtId="177" fontId="5" fillId="10" borderId="1" xfId="1" applyNumberFormat="1" applyFont="1" applyFill="1" applyBorder="1" applyAlignment="1">
      <alignment vertical="center" wrapText="1"/>
    </xf>
    <xf numFmtId="0" fontId="3" fillId="10" borderId="1" xfId="1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14" fontId="3" fillId="6" borderId="1" xfId="1" applyNumberFormat="1" applyFont="1" applyFill="1" applyBorder="1" applyAlignment="1">
      <alignment horizontal="left" vertical="center" wrapText="1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177" fontId="3" fillId="7" borderId="1" xfId="1" applyNumberFormat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177" fontId="5" fillId="10" borderId="1" xfId="1" applyNumberFormat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/>
    <xf numFmtId="0" fontId="3" fillId="0" borderId="3" xfId="1" applyFont="1" applyBorder="1"/>
    <xf numFmtId="0" fontId="7" fillId="5" borderId="1" xfId="1" applyFont="1" applyFill="1" applyBorder="1" applyAlignment="1">
      <alignment horizontal="center" vertical="center"/>
    </xf>
    <xf numFmtId="0" fontId="6" fillId="3" borderId="0" xfId="1" applyFont="1" applyFill="1" applyAlignment="1">
      <alignment vertical="center" wrapText="1"/>
    </xf>
    <xf numFmtId="0" fontId="3" fillId="0" borderId="0" xfId="0" applyFont="1"/>
    <xf numFmtId="26" fontId="3" fillId="6" borderId="1" xfId="1" applyNumberFormat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2" fontId="3" fillId="6" borderId="1" xfId="1" applyNumberFormat="1" applyFont="1" applyFill="1" applyBorder="1" applyAlignment="1">
      <alignment horizontal="center" vertical="center"/>
    </xf>
    <xf numFmtId="0" fontId="6" fillId="3" borderId="0" xfId="1" applyFont="1" applyFill="1" applyAlignment="1">
      <alignment horizontal="left" vertical="center" wrapText="1"/>
    </xf>
    <xf numFmtId="0" fontId="5" fillId="4" borderId="0" xfId="1" applyFont="1" applyFill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0" fontId="5" fillId="4" borderId="5" xfId="1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5" fillId="4" borderId="0" xfId="1" applyFont="1" applyFill="1"/>
    <xf numFmtId="0" fontId="5" fillId="10" borderId="1" xfId="1" applyFont="1" applyFill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3" fillId="0" borderId="3" xfId="1" applyFont="1" applyBorder="1" applyAlignment="1">
      <alignment vertical="center" wrapText="1"/>
    </xf>
    <xf numFmtId="0" fontId="3" fillId="10" borderId="8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3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showGridLines="0" workbookViewId="0">
      <selection activeCell="G21" sqref="G21"/>
    </sheetView>
  </sheetViews>
  <sheetFormatPr defaultColWidth="9.1328125" defaultRowHeight="15" x14ac:dyDescent="0.5"/>
  <cols>
    <col min="1" max="1" width="23.86328125" style="1" customWidth="1"/>
    <col min="2" max="2" width="37" style="1" customWidth="1"/>
    <col min="3" max="3" width="35.59765625" style="1" customWidth="1"/>
    <col min="4" max="4" width="37.59765625" style="1" customWidth="1"/>
    <col min="5" max="6" width="10" style="1" customWidth="1"/>
    <col min="7" max="16384" width="9.1328125" style="1"/>
  </cols>
  <sheetData>
    <row r="1" spans="1:7" ht="24" customHeight="1" x14ac:dyDescent="0.5">
      <c r="A1" s="54" t="s">
        <v>0</v>
      </c>
      <c r="B1" s="54"/>
      <c r="C1" s="54"/>
      <c r="D1" s="54"/>
      <c r="E1" s="54"/>
      <c r="F1" s="54"/>
      <c r="G1" s="54"/>
    </row>
    <row r="3" spans="1:7" x14ac:dyDescent="0.5">
      <c r="A3" s="57" t="s">
        <v>1</v>
      </c>
      <c r="B3" s="52"/>
      <c r="C3" s="52"/>
      <c r="D3" s="52"/>
      <c r="E3" s="52"/>
      <c r="F3" s="52"/>
    </row>
    <row r="5" spans="1:7" ht="26.25" customHeight="1" x14ac:dyDescent="0.5">
      <c r="A5" s="58" t="s">
        <v>2</v>
      </c>
      <c r="B5" s="58"/>
      <c r="C5" s="58"/>
      <c r="D5" s="58"/>
      <c r="E5" s="58"/>
      <c r="F5" s="58"/>
      <c r="G5" s="58"/>
    </row>
    <row r="6" spans="1:7" ht="35.25" customHeight="1" x14ac:dyDescent="0.5">
      <c r="A6" s="59" t="s">
        <v>3</v>
      </c>
      <c r="B6" s="59"/>
      <c r="C6" s="59"/>
      <c r="D6" s="59"/>
      <c r="E6" s="59"/>
      <c r="F6" s="59"/>
      <c r="G6" s="59"/>
    </row>
    <row r="7" spans="1:7" ht="50.1" customHeight="1" x14ac:dyDescent="0.5">
      <c r="A7" s="59" t="s">
        <v>4</v>
      </c>
      <c r="B7" s="59"/>
      <c r="C7" s="59"/>
      <c r="D7" s="59"/>
      <c r="E7" s="59"/>
      <c r="F7" s="59"/>
      <c r="G7" s="59"/>
    </row>
    <row r="8" spans="1:7" ht="50.1" customHeight="1" x14ac:dyDescent="0.5">
      <c r="A8" s="59" t="s">
        <v>5</v>
      </c>
      <c r="B8" s="59"/>
      <c r="C8" s="59"/>
      <c r="D8" s="59"/>
      <c r="E8" s="59"/>
      <c r="F8" s="59"/>
      <c r="G8" s="59"/>
    </row>
    <row r="9" spans="1:7" ht="45" customHeight="1" x14ac:dyDescent="0.5">
      <c r="A9" s="59" t="s">
        <v>6</v>
      </c>
      <c r="B9" s="59"/>
      <c r="C9" s="59"/>
      <c r="D9" s="59"/>
      <c r="E9" s="59"/>
      <c r="F9" s="59"/>
      <c r="G9" s="59"/>
    </row>
    <row r="10" spans="1:7" ht="45" customHeight="1" x14ac:dyDescent="0.5">
      <c r="A10" s="59" t="s">
        <v>7</v>
      </c>
      <c r="B10" s="59"/>
      <c r="C10" s="59"/>
      <c r="D10" s="59"/>
      <c r="E10" s="59"/>
      <c r="F10" s="59"/>
      <c r="G10" s="59"/>
    </row>
    <row r="11" spans="1:7" ht="15.75" x14ac:dyDescent="0.5">
      <c r="A11" s="58" t="s">
        <v>8</v>
      </c>
      <c r="B11" s="58"/>
      <c r="C11" s="58"/>
      <c r="D11" s="58"/>
      <c r="E11" s="58"/>
      <c r="F11" s="58"/>
      <c r="G11" s="58"/>
    </row>
    <row r="12" spans="1:7" ht="43.5" customHeight="1" x14ac:dyDescent="0.5">
      <c r="A12" s="59" t="s">
        <v>9</v>
      </c>
      <c r="B12" s="59"/>
      <c r="C12" s="59"/>
      <c r="D12" s="59"/>
      <c r="E12" s="59"/>
      <c r="F12" s="59"/>
      <c r="G12" s="59"/>
    </row>
    <row r="13" spans="1:7" ht="39.75" customHeight="1" x14ac:dyDescent="0.5">
      <c r="A13" s="59" t="s">
        <v>10</v>
      </c>
      <c r="B13" s="59"/>
      <c r="C13" s="59"/>
      <c r="D13" s="59"/>
      <c r="E13" s="59"/>
      <c r="F13" s="59"/>
      <c r="G13" s="59"/>
    </row>
    <row r="14" spans="1:7" ht="38.25" customHeight="1" x14ac:dyDescent="0.5">
      <c r="A14" s="59" t="s">
        <v>11</v>
      </c>
      <c r="B14" s="59"/>
      <c r="C14" s="59"/>
      <c r="D14" s="59"/>
      <c r="E14" s="59"/>
      <c r="F14" s="59"/>
      <c r="G14" s="59"/>
    </row>
    <row r="15" spans="1:7" ht="41.25" customHeight="1" x14ac:dyDescent="0.5">
      <c r="A15" s="59" t="s">
        <v>12</v>
      </c>
      <c r="B15" s="59"/>
      <c r="C15" s="59"/>
      <c r="D15" s="59"/>
      <c r="E15" s="59"/>
      <c r="F15" s="59"/>
      <c r="G15" s="59"/>
    </row>
    <row r="16" spans="1:7" ht="36" customHeight="1" x14ac:dyDescent="0.5">
      <c r="A16" s="61" t="s">
        <v>13</v>
      </c>
      <c r="B16" s="61"/>
      <c r="C16" s="61"/>
      <c r="D16" s="61"/>
      <c r="E16" s="61"/>
      <c r="F16" s="61"/>
      <c r="G16" s="61"/>
    </row>
    <row r="18" spans="1:4" ht="15.75" x14ac:dyDescent="0.55000000000000004">
      <c r="A18" s="60" t="s">
        <v>14</v>
      </c>
      <c r="B18" s="60"/>
      <c r="C18" s="60"/>
      <c r="D18" s="60"/>
    </row>
    <row r="19" spans="1:4" ht="15.75" x14ac:dyDescent="0.5">
      <c r="A19" s="3" t="s">
        <v>15</v>
      </c>
      <c r="B19" s="3" t="s">
        <v>16</v>
      </c>
      <c r="C19" s="3" t="s">
        <v>17</v>
      </c>
      <c r="D19" s="3" t="s">
        <v>18</v>
      </c>
    </row>
    <row r="20" spans="1:4" ht="30" x14ac:dyDescent="0.5">
      <c r="A20" s="4" t="s">
        <v>19</v>
      </c>
      <c r="B20" s="5" t="s">
        <v>20</v>
      </c>
      <c r="C20" s="5" t="s">
        <v>21</v>
      </c>
      <c r="D20" s="5" t="s">
        <v>22</v>
      </c>
    </row>
    <row r="21" spans="1:4" ht="27.75" customHeight="1" x14ac:dyDescent="0.5">
      <c r="A21" s="6" t="s">
        <v>23</v>
      </c>
      <c r="B21" s="5" t="s">
        <v>24</v>
      </c>
      <c r="C21" s="5" t="s">
        <v>25</v>
      </c>
      <c r="D21" s="5" t="s">
        <v>26</v>
      </c>
    </row>
    <row r="22" spans="1:4" ht="30" x14ac:dyDescent="0.5">
      <c r="A22" s="7" t="s">
        <v>27</v>
      </c>
      <c r="B22" s="5" t="s">
        <v>28</v>
      </c>
      <c r="C22" s="5" t="s">
        <v>29</v>
      </c>
      <c r="D22" s="5" t="s">
        <v>30</v>
      </c>
    </row>
    <row r="23" spans="1:4" ht="30" x14ac:dyDescent="0.5">
      <c r="A23" s="8" t="s">
        <v>31</v>
      </c>
      <c r="B23" s="5" t="s">
        <v>32</v>
      </c>
      <c r="C23" s="5" t="s">
        <v>33</v>
      </c>
      <c r="D23" s="5" t="s">
        <v>34</v>
      </c>
    </row>
  </sheetData>
  <mergeCells count="15">
    <mergeCell ref="A8:G8"/>
    <mergeCell ref="A9:G9"/>
    <mergeCell ref="A10:G10"/>
    <mergeCell ref="A11:G11"/>
    <mergeCell ref="A18:D18"/>
    <mergeCell ref="A12:G12"/>
    <mergeCell ref="A13:G13"/>
    <mergeCell ref="A14:G14"/>
    <mergeCell ref="A15:G15"/>
    <mergeCell ref="A16:G16"/>
    <mergeCell ref="A3:F3"/>
    <mergeCell ref="A1:G1"/>
    <mergeCell ref="A5:G5"/>
    <mergeCell ref="A6:G6"/>
    <mergeCell ref="A7:G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showGridLines="0" topLeftCell="A7" workbookViewId="0">
      <selection activeCell="E20" sqref="E20"/>
    </sheetView>
  </sheetViews>
  <sheetFormatPr defaultColWidth="9.1328125" defaultRowHeight="15" x14ac:dyDescent="0.5"/>
  <cols>
    <col min="1" max="1" width="29.86328125" style="1" customWidth="1"/>
    <col min="2" max="2" width="24" style="1" customWidth="1"/>
    <col min="3" max="3" width="33.73046875" style="1" customWidth="1"/>
    <col min="4" max="4" width="25.59765625" style="1" customWidth="1"/>
    <col min="5" max="5" width="30" style="1" customWidth="1"/>
    <col min="6" max="6" width="25" style="1" customWidth="1"/>
    <col min="7" max="16384" width="9.1328125" style="1"/>
  </cols>
  <sheetData>
    <row r="1" spans="1:6" ht="24" customHeight="1" x14ac:dyDescent="0.5">
      <c r="A1" s="54" t="s">
        <v>35</v>
      </c>
      <c r="B1" s="55"/>
      <c r="C1" s="55"/>
      <c r="D1" s="55"/>
      <c r="E1" s="55"/>
      <c r="F1" s="55"/>
    </row>
    <row r="3" spans="1:6" ht="15.75" x14ac:dyDescent="0.55000000000000004">
      <c r="A3" s="62" t="s">
        <v>36</v>
      </c>
      <c r="B3" s="52"/>
      <c r="C3" s="52"/>
      <c r="D3" s="52"/>
      <c r="E3" s="52"/>
      <c r="F3" s="52"/>
    </row>
    <row r="4" spans="1:6" ht="20.100000000000001" customHeight="1" x14ac:dyDescent="0.5">
      <c r="A4" s="3" t="s">
        <v>37</v>
      </c>
      <c r="B4" s="3" t="s">
        <v>38</v>
      </c>
      <c r="C4" s="3" t="s">
        <v>39</v>
      </c>
      <c r="D4" s="3" t="s">
        <v>18</v>
      </c>
      <c r="E4" s="3" t="s">
        <v>40</v>
      </c>
      <c r="F4" s="3" t="s">
        <v>41</v>
      </c>
    </row>
    <row r="5" spans="1:6" ht="45" x14ac:dyDescent="0.5">
      <c r="A5" s="9" t="s">
        <v>42</v>
      </c>
      <c r="B5" s="4" t="s">
        <v>43</v>
      </c>
      <c r="C5" s="7" t="s">
        <v>44</v>
      </c>
      <c r="D5" s="5" t="s">
        <v>45</v>
      </c>
      <c r="E5" s="4" t="s">
        <v>46</v>
      </c>
      <c r="F5" s="10" t="s">
        <v>47</v>
      </c>
    </row>
    <row r="6" spans="1:6" x14ac:dyDescent="0.5">
      <c r="A6" s="9" t="s">
        <v>48</v>
      </c>
      <c r="B6" s="4" t="s">
        <v>46</v>
      </c>
      <c r="C6" s="4" t="s">
        <v>49</v>
      </c>
      <c r="D6" s="5"/>
      <c r="E6" s="4" t="s">
        <v>46</v>
      </c>
      <c r="F6" s="10" t="s">
        <v>47</v>
      </c>
    </row>
    <row r="7" spans="1:6" ht="45" x14ac:dyDescent="0.5">
      <c r="A7" s="9" t="s">
        <v>50</v>
      </c>
      <c r="B7" s="4" t="s">
        <v>51</v>
      </c>
      <c r="C7" s="7" t="s">
        <v>44</v>
      </c>
      <c r="D7" s="5" t="s">
        <v>52</v>
      </c>
      <c r="E7" s="4" t="s">
        <v>46</v>
      </c>
      <c r="F7" s="10" t="s">
        <v>47</v>
      </c>
    </row>
    <row r="8" spans="1:6" ht="30" x14ac:dyDescent="0.5">
      <c r="A8" s="9" t="s">
        <v>53</v>
      </c>
      <c r="B8" s="4" t="s">
        <v>46</v>
      </c>
      <c r="C8" s="7" t="s">
        <v>44</v>
      </c>
      <c r="D8" s="5" t="s">
        <v>54</v>
      </c>
      <c r="E8" s="4" t="s">
        <v>46</v>
      </c>
      <c r="F8" s="10" t="s">
        <v>47</v>
      </c>
    </row>
    <row r="9" spans="1:6" x14ac:dyDescent="0.5">
      <c r="A9" s="9" t="s">
        <v>55</v>
      </c>
      <c r="B9" s="41">
        <v>46094</v>
      </c>
      <c r="C9" s="7" t="s">
        <v>44</v>
      </c>
      <c r="D9" s="5"/>
      <c r="E9" s="4" t="s">
        <v>46</v>
      </c>
      <c r="F9" s="10" t="s">
        <v>47</v>
      </c>
    </row>
    <row r="10" spans="1:6" x14ac:dyDescent="0.5">
      <c r="A10" s="9" t="s">
        <v>56</v>
      </c>
      <c r="B10" s="4" t="s">
        <v>57</v>
      </c>
      <c r="C10" s="4" t="s">
        <v>49</v>
      </c>
      <c r="D10" s="5"/>
      <c r="E10" s="4" t="s">
        <v>46</v>
      </c>
      <c r="F10" s="10" t="s">
        <v>47</v>
      </c>
    </row>
    <row r="12" spans="1:6" ht="15.75" x14ac:dyDescent="0.55000000000000004">
      <c r="A12" s="62" t="s">
        <v>58</v>
      </c>
      <c r="B12" s="52"/>
      <c r="C12" s="52"/>
      <c r="D12" s="52"/>
      <c r="E12" s="52"/>
      <c r="F12" s="52"/>
    </row>
    <row r="13" spans="1:6" ht="20.100000000000001" customHeight="1" x14ac:dyDescent="0.5">
      <c r="A13" s="3" t="s">
        <v>37</v>
      </c>
      <c r="B13" s="3" t="s">
        <v>38</v>
      </c>
      <c r="C13" s="3" t="s">
        <v>59</v>
      </c>
      <c r="D13" s="3" t="s">
        <v>39</v>
      </c>
      <c r="E13" s="3" t="s">
        <v>18</v>
      </c>
      <c r="F13" s="3" t="s">
        <v>60</v>
      </c>
    </row>
    <row r="14" spans="1:6" x14ac:dyDescent="0.5">
      <c r="A14" s="9" t="s">
        <v>61</v>
      </c>
      <c r="B14" s="4">
        <f>0.655*32*4</f>
        <v>83.84</v>
      </c>
      <c r="C14" s="5" t="s">
        <v>62</v>
      </c>
      <c r="D14" s="4" t="s">
        <v>49</v>
      </c>
      <c r="E14" s="5"/>
      <c r="F14" s="10" t="s">
        <v>46</v>
      </c>
    </row>
    <row r="15" spans="1:6" ht="30" x14ac:dyDescent="0.5">
      <c r="A15" s="9" t="s">
        <v>63</v>
      </c>
      <c r="B15" s="4">
        <f>16*16080/1000</f>
        <v>257.27999999999997</v>
      </c>
      <c r="C15" s="5" t="s">
        <v>64</v>
      </c>
      <c r="D15" s="4" t="s">
        <v>49</v>
      </c>
      <c r="E15" s="5" t="s">
        <v>65</v>
      </c>
      <c r="F15" s="10" t="s">
        <v>46</v>
      </c>
    </row>
    <row r="16" spans="1:6" ht="30" x14ac:dyDescent="0.5">
      <c r="A16" s="9" t="s">
        <v>66</v>
      </c>
      <c r="B16" s="4">
        <v>40</v>
      </c>
      <c r="C16" s="5" t="s">
        <v>67</v>
      </c>
      <c r="D16" s="4" t="s">
        <v>68</v>
      </c>
      <c r="E16" s="5" t="s">
        <v>69</v>
      </c>
      <c r="F16" s="10" t="s">
        <v>46</v>
      </c>
    </row>
    <row r="17" spans="1:6" ht="30" x14ac:dyDescent="0.5">
      <c r="A17" s="9" t="s">
        <v>70</v>
      </c>
      <c r="B17" s="4">
        <v>360</v>
      </c>
      <c r="C17" s="5" t="s">
        <v>71</v>
      </c>
      <c r="D17" s="4" t="s">
        <v>68</v>
      </c>
      <c r="E17" s="5" t="s">
        <v>46</v>
      </c>
      <c r="F17" s="10" t="s">
        <v>46</v>
      </c>
    </row>
    <row r="18" spans="1:6" ht="30" x14ac:dyDescent="0.5">
      <c r="A18" s="9" t="s">
        <v>72</v>
      </c>
      <c r="B18" s="4">
        <v>10</v>
      </c>
      <c r="C18" s="5" t="s">
        <v>73</v>
      </c>
      <c r="D18" s="4" t="s">
        <v>68</v>
      </c>
      <c r="E18" s="5" t="s">
        <v>74</v>
      </c>
      <c r="F18" s="10" t="s">
        <v>46</v>
      </c>
    </row>
    <row r="19" spans="1:6" ht="45" x14ac:dyDescent="0.5">
      <c r="A19" s="9" t="s">
        <v>75</v>
      </c>
      <c r="B19" s="4" t="s">
        <v>76</v>
      </c>
      <c r="C19" s="5"/>
      <c r="D19" s="4" t="s">
        <v>49</v>
      </c>
      <c r="E19" s="5" t="s">
        <v>77</v>
      </c>
      <c r="F19" s="10" t="s">
        <v>46</v>
      </c>
    </row>
    <row r="20" spans="1:6" ht="45" x14ac:dyDescent="0.5">
      <c r="A20" s="9" t="s">
        <v>78</v>
      </c>
      <c r="B20" s="4" t="s">
        <v>46</v>
      </c>
      <c r="C20" s="5"/>
      <c r="D20" s="4" t="s">
        <v>68</v>
      </c>
      <c r="E20" s="5" t="s">
        <v>79</v>
      </c>
      <c r="F20" s="10" t="s">
        <v>46</v>
      </c>
    </row>
    <row r="21" spans="1:6" x14ac:dyDescent="0.5">
      <c r="A21" s="9" t="s">
        <v>80</v>
      </c>
      <c r="B21" s="4" t="s">
        <v>46</v>
      </c>
      <c r="C21" s="5" t="s">
        <v>46</v>
      </c>
      <c r="D21" s="4" t="s">
        <v>68</v>
      </c>
      <c r="E21" s="5" t="s">
        <v>46</v>
      </c>
      <c r="F21" s="10" t="s">
        <v>46</v>
      </c>
    </row>
  </sheetData>
  <mergeCells count="3">
    <mergeCell ref="A3:F3"/>
    <mergeCell ref="A1:F1"/>
    <mergeCell ref="A12:F12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="请从下拉列表中选择" promptTitle="重要程度 / Priority" prompt="请选择：必填/建议填/选填" xr:uid="{00000000-0002-0000-0100-000000000000}">
          <x14:formula1>
            <xm:f>'99_下拉选项'!$D$1:$D$3</xm:f>
          </x14:formula1>
          <xm:sqref>D14:D21 C5:C10</xm:sqref>
        </x14:dataValidation>
        <x14:dataValidation type="list" allowBlank="1" error="请从下拉列表中选择 是/否" promptTitle="是否确认 / Confirmed" prompt="请选择 是 / 否" xr:uid="{00000000-0002-0000-0100-000001000000}">
          <x14:formula1>
            <xm:f>'99_下拉选项'!$A$1:$A$2</xm:f>
          </x14:formula1>
          <xm:sqref>F5:F10</xm:sqref>
        </x14:dataValidation>
        <x14:dataValidation type="list" allowBlank="1" error="请从下拉列表中选择项目阶段" promptTitle="项目阶段 / Project Stage" prompt="请选择项目阶段" xr:uid="{00000000-0002-0000-0100-000002000000}">
          <x14:formula1>
            <xm:f>'99_下拉选项'!$C$1:$C$5</xm:f>
          </x14:formula1>
          <xm:sqref>B10</xm:sqref>
        </x14:dataValidation>
        <x14:dataValidation type="list" allowBlank="1" error="请从下拉列表中选择币种" promptTitle="基准币种 / Base Currency" prompt="请选择币种" xr:uid="{00000000-0002-0000-0100-000003000000}">
          <x14:formula1>
            <xm:f>'99_下拉选项'!$B$1:$B$13</xm:f>
          </x14:formula1>
          <xm:sqref>B19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showGridLines="0" workbookViewId="0">
      <selection activeCell="J17" sqref="J17"/>
    </sheetView>
  </sheetViews>
  <sheetFormatPr defaultColWidth="9.1328125" defaultRowHeight="15" x14ac:dyDescent="0.5"/>
  <cols>
    <col min="1" max="1" width="14.86328125" style="1" customWidth="1"/>
    <col min="2" max="2" width="26.59765625" style="1" customWidth="1"/>
    <col min="3" max="3" width="25.73046875" style="1" customWidth="1"/>
    <col min="4" max="4" width="28" style="1" customWidth="1"/>
    <col min="5" max="5" width="37.1328125" style="1" customWidth="1"/>
    <col min="6" max="6" width="24.3984375" style="1" customWidth="1"/>
    <col min="7" max="7" width="18" style="1" customWidth="1"/>
    <col min="8" max="8" width="16.265625" style="1" customWidth="1"/>
    <col min="9" max="16384" width="9.1328125" style="1"/>
  </cols>
  <sheetData>
    <row r="1" spans="1:8" ht="24" customHeight="1" x14ac:dyDescent="0.5">
      <c r="A1" s="54" t="s">
        <v>81</v>
      </c>
      <c r="B1" s="55"/>
      <c r="C1" s="55"/>
      <c r="D1" s="55"/>
      <c r="E1" s="55"/>
      <c r="F1" s="55"/>
      <c r="G1" s="55"/>
      <c r="H1" s="55"/>
    </row>
    <row r="3" spans="1:8" x14ac:dyDescent="0.5">
      <c r="A3" s="57" t="s">
        <v>82</v>
      </c>
      <c r="B3" s="52"/>
      <c r="C3" s="52"/>
      <c r="D3" s="52"/>
      <c r="E3" s="52"/>
      <c r="F3" s="52"/>
      <c r="G3" s="52"/>
      <c r="H3" s="52"/>
    </row>
    <row r="4" spans="1:8" s="2" customFormat="1" ht="33" customHeight="1" x14ac:dyDescent="0.5">
      <c r="A4" s="14" t="s">
        <v>83</v>
      </c>
      <c r="B4" s="14" t="s">
        <v>84</v>
      </c>
      <c r="C4" s="14" t="s">
        <v>85</v>
      </c>
      <c r="D4" s="14" t="s">
        <v>86</v>
      </c>
      <c r="E4" s="14" t="s">
        <v>87</v>
      </c>
      <c r="F4" s="14" t="s">
        <v>41</v>
      </c>
      <c r="G4" s="14" t="s">
        <v>60</v>
      </c>
      <c r="H4" s="14" t="s">
        <v>88</v>
      </c>
    </row>
    <row r="5" spans="1:8" ht="30" x14ac:dyDescent="0.5">
      <c r="A5" s="11">
        <v>1</v>
      </c>
      <c r="B5" s="6" t="s">
        <v>89</v>
      </c>
      <c r="C5" s="6" t="s">
        <v>90</v>
      </c>
      <c r="D5" s="12">
        <f>IF('03_光伏系统明细'!P13="","",'03_光伏系统明细'!P13)</f>
        <v>125528.8</v>
      </c>
      <c r="E5" s="5" t="s">
        <v>91</v>
      </c>
      <c r="F5" s="10" t="s">
        <v>47</v>
      </c>
      <c r="G5" s="10" t="s">
        <v>46</v>
      </c>
      <c r="H5" s="10" t="s">
        <v>46</v>
      </c>
    </row>
    <row r="6" spans="1:8" ht="30" x14ac:dyDescent="0.5">
      <c r="A6" s="11">
        <v>2</v>
      </c>
      <c r="B6" s="6" t="s">
        <v>92</v>
      </c>
      <c r="C6" s="6" t="s">
        <v>93</v>
      </c>
      <c r="D6" s="12">
        <f>IF('04_储能系统明细'!P14="","",'04_储能系统明细'!P14)</f>
        <v>53600</v>
      </c>
      <c r="E6" s="5" t="s">
        <v>94</v>
      </c>
      <c r="F6" s="10" t="s">
        <v>47</v>
      </c>
      <c r="G6" s="10" t="s">
        <v>46</v>
      </c>
      <c r="H6" s="10" t="s">
        <v>46</v>
      </c>
    </row>
    <row r="7" spans="1:8" ht="30" x14ac:dyDescent="0.5">
      <c r="A7" s="11">
        <v>3</v>
      </c>
      <c r="B7" s="6" t="s">
        <v>95</v>
      </c>
      <c r="C7" s="6" t="s">
        <v>96</v>
      </c>
      <c r="D7" s="12">
        <f>IF('05_柴油机系统明细'!P11="","",'05_柴油机系统明细'!P11)</f>
        <v>45000</v>
      </c>
      <c r="E7" s="5" t="s">
        <v>97</v>
      </c>
      <c r="F7" s="10" t="s">
        <v>47</v>
      </c>
      <c r="G7" s="10" t="s">
        <v>46</v>
      </c>
      <c r="H7" s="10" t="s">
        <v>46</v>
      </c>
    </row>
    <row r="8" spans="1:8" ht="45" x14ac:dyDescent="0.5">
      <c r="A8" s="11">
        <v>4</v>
      </c>
      <c r="B8" s="6" t="s">
        <v>98</v>
      </c>
      <c r="C8" s="6" t="s">
        <v>99</v>
      </c>
      <c r="D8" s="12">
        <f>IF('06_电气配套明细'!P13="","",'06_电气配套明细'!P13)</f>
        <v>28200</v>
      </c>
      <c r="E8" s="5" t="s">
        <v>100</v>
      </c>
      <c r="F8" s="10" t="s">
        <v>47</v>
      </c>
      <c r="G8" s="10" t="s">
        <v>46</v>
      </c>
      <c r="H8" s="10" t="s">
        <v>46</v>
      </c>
    </row>
    <row r="9" spans="1:8" ht="45" x14ac:dyDescent="0.5">
      <c r="A9" s="11">
        <v>5</v>
      </c>
      <c r="B9" s="6" t="s">
        <v>101</v>
      </c>
      <c r="C9" s="6" t="s">
        <v>102</v>
      </c>
      <c r="D9" s="12">
        <f>IF('07_运输安装其他'!P13="","",'07_运输安装其他'!P13)</f>
        <v>15800</v>
      </c>
      <c r="E9" s="5" t="s">
        <v>103</v>
      </c>
      <c r="F9" s="10" t="s">
        <v>47</v>
      </c>
      <c r="G9" s="10" t="s">
        <v>46</v>
      </c>
      <c r="H9" s="10"/>
    </row>
    <row r="10" spans="1:8" x14ac:dyDescent="0.5">
      <c r="D10" s="13"/>
    </row>
    <row r="11" spans="1:8" s="40" customFormat="1" ht="30" x14ac:dyDescent="0.45">
      <c r="A11" s="63" t="s">
        <v>104</v>
      </c>
      <c r="B11" s="64"/>
      <c r="C11" s="65"/>
      <c r="D11" s="38">
        <f>SUM(D5:D9)</f>
        <v>268128.8</v>
      </c>
      <c r="E11" s="39" t="s">
        <v>105</v>
      </c>
      <c r="F11" s="39" t="s">
        <v>106</v>
      </c>
      <c r="G11" s="39"/>
      <c r="H11" s="39"/>
    </row>
  </sheetData>
  <mergeCells count="3">
    <mergeCell ref="A3:H3"/>
    <mergeCell ref="A11:C11"/>
    <mergeCell ref="A1:H1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="请从下拉列表中选择 是/否" promptTitle="是否确认 / Confirmed" prompt="请选择 是 / 否" xr:uid="{00000000-0002-0000-0200-000000000000}">
          <x14:formula1>
            <xm:f>'99_下拉选项'!$A$1:$A$2</xm:f>
          </x14:formula1>
          <xm:sqref>F5:F11</xm:sqref>
        </x14:dataValidation>
        <x14:dataValidation type="list" allowBlank="1" error="请从下拉列表中选择状态" promptTitle="状态 / Status" prompt="请选择当前状态" xr:uid="{00000000-0002-0000-0200-000001000000}">
          <x14:formula1>
            <xm:f>'99_下拉选项'!$C$1:$C$5</xm:f>
          </x14:formula1>
          <xm:sqref>H5:H9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3"/>
  <sheetViews>
    <sheetView showGridLines="0" zoomScale="85" zoomScaleNormal="85" workbookViewId="0">
      <selection activeCell="O11" sqref="O11"/>
    </sheetView>
  </sheetViews>
  <sheetFormatPr defaultColWidth="9.1328125" defaultRowHeight="15" x14ac:dyDescent="0.5"/>
  <cols>
    <col min="1" max="1" width="12.59765625" style="1" customWidth="1"/>
    <col min="2" max="2" width="22.1328125" style="1" customWidth="1"/>
    <col min="3" max="3" width="19" style="1" customWidth="1"/>
    <col min="4" max="4" width="19.86328125" style="1" customWidth="1"/>
    <col min="5" max="5" width="14" style="1" customWidth="1"/>
    <col min="6" max="6" width="23.59765625" style="1" customWidth="1"/>
    <col min="7" max="7" width="24.265625" style="1" customWidth="1"/>
    <col min="8" max="8" width="18" style="1" customWidth="1"/>
    <col min="9" max="9" width="10" style="1" customWidth="1"/>
    <col min="10" max="10" width="12" style="1" customWidth="1"/>
    <col min="11" max="11" width="12.265625" style="1" customWidth="1"/>
    <col min="12" max="13" width="10" style="1" customWidth="1"/>
    <col min="14" max="15" width="12" style="1" customWidth="1"/>
    <col min="16" max="16" width="14" style="1" customWidth="1"/>
    <col min="17" max="17" width="27.59765625" style="1" customWidth="1"/>
    <col min="18" max="18" width="20" style="1" customWidth="1"/>
    <col min="19" max="19" width="12" style="1" customWidth="1"/>
    <col min="20" max="16384" width="9.1328125" style="1"/>
  </cols>
  <sheetData>
    <row r="1" spans="1:19" ht="24" customHeight="1" x14ac:dyDescent="0.5">
      <c r="A1" s="54" t="s">
        <v>107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</row>
    <row r="3" spans="1:19" x14ac:dyDescent="0.5">
      <c r="A3" s="57" t="s">
        <v>108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</row>
    <row r="4" spans="1:19" s="2" customFormat="1" ht="40.5" customHeight="1" x14ac:dyDescent="0.5">
      <c r="A4" s="14" t="s">
        <v>83</v>
      </c>
      <c r="B4" s="14" t="s">
        <v>109</v>
      </c>
      <c r="C4" s="14" t="s">
        <v>110</v>
      </c>
      <c r="D4" s="14" t="s">
        <v>111</v>
      </c>
      <c r="E4" s="14" t="s">
        <v>112</v>
      </c>
      <c r="F4" s="14" t="s">
        <v>113</v>
      </c>
      <c r="G4" s="14" t="s">
        <v>114</v>
      </c>
      <c r="H4" s="14" t="s">
        <v>115</v>
      </c>
      <c r="I4" s="14" t="s">
        <v>116</v>
      </c>
      <c r="J4" s="14" t="s">
        <v>117</v>
      </c>
      <c r="K4" s="14" t="s">
        <v>118</v>
      </c>
      <c r="L4" s="14" t="s">
        <v>119</v>
      </c>
      <c r="M4" s="14" t="s">
        <v>120</v>
      </c>
      <c r="N4" s="14" t="s">
        <v>121</v>
      </c>
      <c r="O4" s="14" t="s">
        <v>122</v>
      </c>
      <c r="P4" s="14" t="s">
        <v>123</v>
      </c>
      <c r="Q4" s="14" t="s">
        <v>124</v>
      </c>
      <c r="R4" s="14" t="s">
        <v>60</v>
      </c>
      <c r="S4" s="14" t="s">
        <v>125</v>
      </c>
    </row>
    <row r="5" spans="1:19" ht="30" x14ac:dyDescent="0.5">
      <c r="A5" s="15">
        <v>1</v>
      </c>
      <c r="B5" s="6" t="s">
        <v>89</v>
      </c>
      <c r="C5" s="4" t="s">
        <v>126</v>
      </c>
      <c r="D5" s="4" t="s">
        <v>127</v>
      </c>
      <c r="E5" s="4" t="s">
        <v>128</v>
      </c>
      <c r="F5" s="16" t="s">
        <v>129</v>
      </c>
      <c r="G5" s="16">
        <v>655</v>
      </c>
      <c r="H5" s="10" t="s">
        <v>130</v>
      </c>
      <c r="I5" s="17">
        <f>4*32</f>
        <v>128</v>
      </c>
      <c r="J5" s="18">
        <v>209.6</v>
      </c>
      <c r="K5" s="10" t="s">
        <v>131</v>
      </c>
      <c r="L5" s="19">
        <v>1</v>
      </c>
      <c r="M5" s="20" t="s">
        <v>46</v>
      </c>
      <c r="N5" s="18" t="s">
        <v>46</v>
      </c>
      <c r="O5" s="18" t="s">
        <v>46</v>
      </c>
      <c r="P5" s="21">
        <f t="shared" ref="P5:P12" si="0">IF(OR(I5="",J5=""),"",I5*J5*IF(L5="",1,L5)*(1+IF(M5="",0,M5))+IF(N5="",0,N5)+IF(O5="",0,O5))</f>
        <v>26828.799999999999</v>
      </c>
      <c r="Q5" s="4" t="s">
        <v>128</v>
      </c>
      <c r="R5" s="4" t="s">
        <v>46</v>
      </c>
      <c r="S5" s="4" t="s">
        <v>132</v>
      </c>
    </row>
    <row r="6" spans="1:19" ht="45" x14ac:dyDescent="0.5">
      <c r="A6" s="15">
        <v>2</v>
      </c>
      <c r="B6" s="6" t="s">
        <v>89</v>
      </c>
      <c r="C6" s="4" t="s">
        <v>126</v>
      </c>
      <c r="D6" s="4" t="s">
        <v>127</v>
      </c>
      <c r="E6" s="4" t="s">
        <v>46</v>
      </c>
      <c r="F6" s="16" t="s">
        <v>46</v>
      </c>
      <c r="G6" s="16" t="s">
        <v>133</v>
      </c>
      <c r="H6" s="10" t="s">
        <v>130</v>
      </c>
      <c r="I6" s="17" t="s">
        <v>46</v>
      </c>
      <c r="J6" s="18" t="s">
        <v>46</v>
      </c>
      <c r="K6" s="10" t="s">
        <v>131</v>
      </c>
      <c r="L6" s="19">
        <v>1</v>
      </c>
      <c r="M6" s="20" t="s">
        <v>46</v>
      </c>
      <c r="N6" s="18" t="s">
        <v>46</v>
      </c>
      <c r="O6" s="18" t="s">
        <v>46</v>
      </c>
      <c r="P6" s="21" t="str">
        <f t="shared" si="0"/>
        <v/>
      </c>
      <c r="Q6" s="4" t="s">
        <v>46</v>
      </c>
      <c r="R6" s="4" t="s">
        <v>46</v>
      </c>
      <c r="S6" s="4" t="s">
        <v>47</v>
      </c>
    </row>
    <row r="7" spans="1:19" ht="30" x14ac:dyDescent="0.5">
      <c r="A7" s="15">
        <v>3</v>
      </c>
      <c r="B7" s="6" t="s">
        <v>89</v>
      </c>
      <c r="C7" s="4" t="s">
        <v>134</v>
      </c>
      <c r="D7" s="4" t="s">
        <v>135</v>
      </c>
      <c r="E7" s="4" t="s">
        <v>136</v>
      </c>
      <c r="F7" s="16" t="s">
        <v>137</v>
      </c>
      <c r="G7" s="16" t="s">
        <v>138</v>
      </c>
      <c r="H7" s="10" t="s">
        <v>139</v>
      </c>
      <c r="I7" s="17">
        <v>3</v>
      </c>
      <c r="J7" s="18">
        <v>7500</v>
      </c>
      <c r="K7" s="10" t="s">
        <v>131</v>
      </c>
      <c r="L7" s="19">
        <v>1</v>
      </c>
      <c r="M7" s="20" t="s">
        <v>46</v>
      </c>
      <c r="N7" s="18" t="s">
        <v>46</v>
      </c>
      <c r="O7" s="18" t="s">
        <v>46</v>
      </c>
      <c r="P7" s="21">
        <f t="shared" si="0"/>
        <v>22500</v>
      </c>
      <c r="Q7" s="4" t="s">
        <v>136</v>
      </c>
      <c r="R7" s="4"/>
      <c r="S7" s="4" t="s">
        <v>140</v>
      </c>
    </row>
    <row r="8" spans="1:19" x14ac:dyDescent="0.5">
      <c r="A8" s="15">
        <v>4</v>
      </c>
      <c r="B8" s="6" t="s">
        <v>89</v>
      </c>
      <c r="C8" s="4" t="s">
        <v>134</v>
      </c>
      <c r="D8" s="4" t="s">
        <v>141</v>
      </c>
      <c r="E8" s="4" t="s">
        <v>46</v>
      </c>
      <c r="F8" s="16" t="s">
        <v>46</v>
      </c>
      <c r="G8" s="16" t="s">
        <v>46</v>
      </c>
      <c r="H8" s="10" t="s">
        <v>139</v>
      </c>
      <c r="I8" s="17" t="s">
        <v>46</v>
      </c>
      <c r="J8" s="18" t="s">
        <v>46</v>
      </c>
      <c r="K8" s="10" t="s">
        <v>131</v>
      </c>
      <c r="L8" s="19">
        <v>1</v>
      </c>
      <c r="M8" s="20" t="s">
        <v>46</v>
      </c>
      <c r="N8" s="18" t="s">
        <v>46</v>
      </c>
      <c r="O8" s="18" t="s">
        <v>46</v>
      </c>
      <c r="P8" s="21" t="str">
        <f t="shared" si="0"/>
        <v/>
      </c>
      <c r="Q8" s="4" t="s">
        <v>46</v>
      </c>
      <c r="R8" s="4" t="s">
        <v>46</v>
      </c>
      <c r="S8" s="4" t="s">
        <v>47</v>
      </c>
    </row>
    <row r="9" spans="1:19" ht="45" x14ac:dyDescent="0.5">
      <c r="A9" s="15">
        <v>5</v>
      </c>
      <c r="B9" s="6" t="s">
        <v>89</v>
      </c>
      <c r="C9" s="4" t="s">
        <v>142</v>
      </c>
      <c r="D9" s="4" t="s">
        <v>143</v>
      </c>
      <c r="E9" s="4" t="s">
        <v>144</v>
      </c>
      <c r="F9" s="16" t="s">
        <v>46</v>
      </c>
      <c r="G9" s="16"/>
      <c r="H9" s="10" t="s">
        <v>139</v>
      </c>
      <c r="I9" s="17">
        <v>4</v>
      </c>
      <c r="J9" s="18">
        <f>12700</f>
        <v>12700</v>
      </c>
      <c r="K9" s="10" t="s">
        <v>131</v>
      </c>
      <c r="L9" s="19">
        <v>1</v>
      </c>
      <c r="M9" s="20">
        <v>0.5</v>
      </c>
      <c r="N9" s="18" t="s">
        <v>46</v>
      </c>
      <c r="O9" s="18" t="s">
        <v>46</v>
      </c>
      <c r="P9" s="21">
        <f t="shared" si="0"/>
        <v>76200</v>
      </c>
      <c r="Q9" s="4" t="s">
        <v>145</v>
      </c>
      <c r="R9" s="4"/>
      <c r="S9" s="4" t="s">
        <v>140</v>
      </c>
    </row>
    <row r="10" spans="1:19" ht="45" x14ac:dyDescent="0.5">
      <c r="A10" s="15">
        <v>6</v>
      </c>
      <c r="B10" s="6" t="s">
        <v>89</v>
      </c>
      <c r="C10" s="4" t="s">
        <v>146</v>
      </c>
      <c r="D10" s="4" t="s">
        <v>147</v>
      </c>
      <c r="E10" s="4" t="s">
        <v>46</v>
      </c>
      <c r="F10" s="16" t="s">
        <v>46</v>
      </c>
      <c r="G10" s="16" t="s">
        <v>46</v>
      </c>
      <c r="H10" s="10" t="s">
        <v>148</v>
      </c>
      <c r="I10" s="17" t="s">
        <v>46</v>
      </c>
      <c r="J10" s="18" t="s">
        <v>46</v>
      </c>
      <c r="K10" s="10" t="s">
        <v>131</v>
      </c>
      <c r="L10" s="19">
        <v>1</v>
      </c>
      <c r="M10" s="20" t="s">
        <v>46</v>
      </c>
      <c r="N10" s="18" t="s">
        <v>46</v>
      </c>
      <c r="O10" s="18" t="s">
        <v>46</v>
      </c>
      <c r="P10" s="21" t="str">
        <f t="shared" si="0"/>
        <v/>
      </c>
      <c r="Q10" s="4" t="s">
        <v>46</v>
      </c>
      <c r="R10" s="4" t="s">
        <v>46</v>
      </c>
      <c r="S10" s="4" t="s">
        <v>47</v>
      </c>
    </row>
    <row r="11" spans="1:19" ht="45" x14ac:dyDescent="0.5">
      <c r="A11" s="15">
        <v>7</v>
      </c>
      <c r="B11" s="6" t="s">
        <v>89</v>
      </c>
      <c r="C11" s="4" t="s">
        <v>146</v>
      </c>
      <c r="D11" s="4" t="s">
        <v>149</v>
      </c>
      <c r="E11" s="4" t="s">
        <v>46</v>
      </c>
      <c r="F11" s="16" t="s">
        <v>46</v>
      </c>
      <c r="G11" s="16" t="s">
        <v>46</v>
      </c>
      <c r="H11" s="10" t="s">
        <v>148</v>
      </c>
      <c r="I11" s="17" t="s">
        <v>46</v>
      </c>
      <c r="J11" s="18" t="s">
        <v>46</v>
      </c>
      <c r="K11" s="10" t="s">
        <v>131</v>
      </c>
      <c r="L11" s="19">
        <v>1</v>
      </c>
      <c r="M11" s="20" t="s">
        <v>46</v>
      </c>
      <c r="N11" s="18" t="s">
        <v>46</v>
      </c>
      <c r="O11" s="18" t="s">
        <v>46</v>
      </c>
      <c r="P11" s="21" t="str">
        <f t="shared" si="0"/>
        <v/>
      </c>
      <c r="Q11" s="4" t="s">
        <v>46</v>
      </c>
      <c r="R11" s="4" t="s">
        <v>46</v>
      </c>
      <c r="S11" s="4" t="s">
        <v>47</v>
      </c>
    </row>
    <row r="12" spans="1:19" ht="45" x14ac:dyDescent="0.5">
      <c r="A12" s="15">
        <v>8</v>
      </c>
      <c r="B12" s="6" t="s">
        <v>89</v>
      </c>
      <c r="C12" s="4" t="s">
        <v>146</v>
      </c>
      <c r="D12" s="4" t="s">
        <v>150</v>
      </c>
      <c r="E12" s="4" t="s">
        <v>46</v>
      </c>
      <c r="F12" s="16" t="s">
        <v>46</v>
      </c>
      <c r="G12" s="16" t="s">
        <v>46</v>
      </c>
      <c r="H12" s="10" t="s">
        <v>148</v>
      </c>
      <c r="I12" s="17" t="s">
        <v>46</v>
      </c>
      <c r="J12" s="18" t="s">
        <v>46</v>
      </c>
      <c r="K12" s="10" t="s">
        <v>131</v>
      </c>
      <c r="L12" s="19">
        <v>1</v>
      </c>
      <c r="M12" s="20" t="s">
        <v>46</v>
      </c>
      <c r="N12" s="18" t="s">
        <v>46</v>
      </c>
      <c r="O12" s="18" t="s">
        <v>46</v>
      </c>
      <c r="P12" s="21" t="str">
        <f t="shared" si="0"/>
        <v/>
      </c>
      <c r="Q12" s="4" t="s">
        <v>46</v>
      </c>
      <c r="R12" s="4" t="s">
        <v>46</v>
      </c>
      <c r="S12" s="4" t="s">
        <v>47</v>
      </c>
    </row>
    <row r="13" spans="1:19" s="40" customFormat="1" ht="60" x14ac:dyDescent="0.45">
      <c r="A13" s="35" t="s">
        <v>151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7"/>
      <c r="P13" s="38">
        <f>SUMIFS($P$5:$P$12,$S$5:$S$12,"是 / Yes")</f>
        <v>125528.8</v>
      </c>
      <c r="Q13" s="39" t="s">
        <v>152</v>
      </c>
      <c r="R13" s="36"/>
      <c r="S13" s="37"/>
    </row>
  </sheetData>
  <mergeCells count="2">
    <mergeCell ref="A3:S3"/>
    <mergeCell ref="A1:S1"/>
  </mergeCells>
  <phoneticPr fontId="2" type="noConversion"/>
  <dataValidations count="6">
    <dataValidation type="decimal" operator="greaterThanOrEqual" allowBlank="1" error="数量必须是数字" promptTitle="数量 / Qty" prompt="请输入数字；可填整数或小数" sqref="I5:I12" xr:uid="{00000000-0002-0000-0300-000002000000}">
      <formula1>0</formula1>
    </dataValidation>
    <dataValidation type="decimal" operator="greaterThanOrEqual" allowBlank="1" error="单价必须是数字" promptTitle="单价 / Unit Price" prompt="请输入数字；可填整数或小数" sqref="J5:J12" xr:uid="{00000000-0002-0000-0300-000003000000}">
      <formula1>0</formula1>
    </dataValidation>
    <dataValidation type="decimal" operator="greaterThanOrEqual" allowBlank="1" error="汇率必须是数字" promptTitle="汇率 / FX" prompt="请输入数字；可填整数或小数" sqref="L5:L12" xr:uid="{00000000-0002-0000-0300-000004000000}">
      <formula1>0</formula1>
    </dataValidation>
    <dataValidation type="decimal" operator="greaterThanOrEqual" allowBlank="1" error="税费率必须是数字" promptTitle="税费率 / Tax Rate" prompt="请输入数字；可填整数或小数" sqref="M5:M12" xr:uid="{00000000-0002-0000-0300-000005000000}">
      <formula1>0</formula1>
    </dataValidation>
    <dataValidation type="decimal" operator="greaterThanOrEqual" allowBlank="1" error="运费必须是数字" promptTitle="运费 / Freight" prompt="请输入数字；可填整数或小数" sqref="N5:N12" xr:uid="{00000000-0002-0000-0300-000006000000}">
      <formula1>0</formula1>
    </dataValidation>
    <dataValidation type="decimal" operator="greaterThanOrEqual" allowBlank="1" error="其他调整必须是数字" promptTitle="其他调整 / Other Adj." prompt="请输入数字；可填整数或小数" sqref="O5:O12" xr:uid="{00000000-0002-0000-0300-000007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="请从下拉列表中选择子类" promptTitle="子类 / Subcategory" prompt="请选择子类" xr:uid="{00000000-0002-0000-0300-000000000000}">
          <x14:formula1>
            <xm:f>'99_下拉选项'!$F$1:$F$24</xm:f>
          </x14:formula1>
          <xm:sqref>C5:C12</xm:sqref>
        </x14:dataValidation>
        <x14:dataValidation type="list" allowBlank="1" error="请从下拉列表中选择币种" promptTitle="币种 / Currency" prompt="请选择币种" xr:uid="{00000000-0002-0000-0300-000001000000}">
          <x14:formula1>
            <xm:f>'99_下拉选项'!$B$1:$B$13</xm:f>
          </x14:formula1>
          <xm:sqref>K5:K12</xm:sqref>
        </x14:dataValidation>
        <x14:dataValidation type="list" allowBlank="1" showInputMessage="1" showErrorMessage="1" xr:uid="{E0AC4F11-9BEF-437D-8C7A-0A0C2BCF2B34}">
          <x14:formula1>
            <xm:f>'99_下拉选项'!$A$1:$A$2</xm:f>
          </x14:formula1>
          <xm:sqref>S5:S12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4"/>
  <sheetViews>
    <sheetView showGridLines="0" zoomScale="85" zoomScaleNormal="85" workbookViewId="0">
      <selection activeCell="F13" sqref="F13"/>
    </sheetView>
  </sheetViews>
  <sheetFormatPr defaultColWidth="9.1328125" defaultRowHeight="15" x14ac:dyDescent="0.5"/>
  <cols>
    <col min="1" max="1" width="13.73046875" style="1" customWidth="1"/>
    <col min="2" max="2" width="18.1328125" style="1" customWidth="1"/>
    <col min="3" max="5" width="18" style="1" customWidth="1"/>
    <col min="6" max="6" width="16" style="1" customWidth="1"/>
    <col min="7" max="7" width="20" style="1" customWidth="1"/>
    <col min="8" max="8" width="18" style="1" customWidth="1"/>
    <col min="9" max="9" width="10" style="1" customWidth="1"/>
    <col min="10" max="10" width="12" style="1" customWidth="1"/>
    <col min="11" max="11" width="11.1328125" style="1" customWidth="1"/>
    <col min="12" max="13" width="10" style="1" customWidth="1"/>
    <col min="14" max="15" width="12" style="1" customWidth="1"/>
    <col min="16" max="16" width="14" style="1" customWidth="1"/>
    <col min="17" max="17" width="21.86328125" style="1" customWidth="1"/>
    <col min="18" max="18" width="20" style="1" customWidth="1"/>
    <col min="19" max="19" width="10" style="1" customWidth="1"/>
    <col min="20" max="16384" width="9.1328125" style="1"/>
  </cols>
  <sheetData>
    <row r="1" spans="1:19" ht="24" customHeight="1" x14ac:dyDescent="0.5">
      <c r="A1" s="54" t="s">
        <v>153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</row>
    <row r="3" spans="1:19" x14ac:dyDescent="0.5">
      <c r="A3" s="57" t="s">
        <v>108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</row>
    <row r="4" spans="1:19" s="2" customFormat="1" ht="54.75" customHeight="1" x14ac:dyDescent="0.5">
      <c r="A4" s="14" t="s">
        <v>83</v>
      </c>
      <c r="B4" s="14" t="s">
        <v>109</v>
      </c>
      <c r="C4" s="14" t="s">
        <v>110</v>
      </c>
      <c r="D4" s="14" t="s">
        <v>111</v>
      </c>
      <c r="E4" s="14" t="s">
        <v>112</v>
      </c>
      <c r="F4" s="14" t="s">
        <v>113</v>
      </c>
      <c r="G4" s="14" t="s">
        <v>114</v>
      </c>
      <c r="H4" s="14" t="s">
        <v>115</v>
      </c>
      <c r="I4" s="14" t="s">
        <v>116</v>
      </c>
      <c r="J4" s="14" t="s">
        <v>117</v>
      </c>
      <c r="K4" s="14" t="s">
        <v>118</v>
      </c>
      <c r="L4" s="14" t="s">
        <v>119</v>
      </c>
      <c r="M4" s="14" t="s">
        <v>120</v>
      </c>
      <c r="N4" s="14" t="s">
        <v>121</v>
      </c>
      <c r="O4" s="14" t="s">
        <v>122</v>
      </c>
      <c r="P4" s="14" t="s">
        <v>123</v>
      </c>
      <c r="Q4" s="14" t="s">
        <v>124</v>
      </c>
      <c r="R4" s="14" t="s">
        <v>60</v>
      </c>
      <c r="S4" s="14" t="s">
        <v>125</v>
      </c>
    </row>
    <row r="5" spans="1:19" ht="30" x14ac:dyDescent="0.5">
      <c r="A5" s="15">
        <v>1</v>
      </c>
      <c r="B5" s="6" t="s">
        <v>154</v>
      </c>
      <c r="C5" s="4" t="s">
        <v>155</v>
      </c>
      <c r="D5" s="4" t="s">
        <v>156</v>
      </c>
      <c r="E5" s="4" t="s">
        <v>46</v>
      </c>
      <c r="F5" s="16" t="s">
        <v>46</v>
      </c>
      <c r="G5" s="16" t="s">
        <v>157</v>
      </c>
      <c r="H5" s="10" t="s">
        <v>139</v>
      </c>
      <c r="I5" s="17" t="s">
        <v>46</v>
      </c>
      <c r="J5" s="18" t="s">
        <v>46</v>
      </c>
      <c r="K5" s="10" t="s">
        <v>131</v>
      </c>
      <c r="L5" s="19">
        <v>1</v>
      </c>
      <c r="M5" s="20" t="s">
        <v>46</v>
      </c>
      <c r="N5" s="18" t="s">
        <v>46</v>
      </c>
      <c r="O5" s="18" t="s">
        <v>46</v>
      </c>
      <c r="P5" s="21" t="str">
        <f t="shared" ref="P5:P13" si="0">IF(OR(I5="",J5=""),"",I5*J5*IF(L5="",1,L5)*(1+IF(M5="",0,M5))+IF(N5="",0,N5)+IF(O5="",0,O5))</f>
        <v/>
      </c>
      <c r="Q5" s="4" t="s">
        <v>46</v>
      </c>
      <c r="R5" s="4" t="s">
        <v>46</v>
      </c>
      <c r="S5" s="4" t="s">
        <v>47</v>
      </c>
    </row>
    <row r="6" spans="1:19" ht="45" x14ac:dyDescent="0.5">
      <c r="A6" s="15">
        <v>2</v>
      </c>
      <c r="B6" s="6" t="s">
        <v>92</v>
      </c>
      <c r="C6" s="4" t="s">
        <v>158</v>
      </c>
      <c r="D6" s="4" t="s">
        <v>159</v>
      </c>
      <c r="E6" s="4" t="s">
        <v>160</v>
      </c>
      <c r="F6" s="16" t="s">
        <v>161</v>
      </c>
      <c r="G6" s="16" t="s">
        <v>162</v>
      </c>
      <c r="H6" s="10" t="s">
        <v>163</v>
      </c>
      <c r="I6" s="17">
        <v>16</v>
      </c>
      <c r="J6" s="18">
        <v>3100</v>
      </c>
      <c r="K6" s="10" t="s">
        <v>131</v>
      </c>
      <c r="L6" s="19">
        <v>1</v>
      </c>
      <c r="M6" s="20" t="s">
        <v>46</v>
      </c>
      <c r="N6" s="18" t="s">
        <v>46</v>
      </c>
      <c r="O6" s="18" t="s">
        <v>46</v>
      </c>
      <c r="P6" s="21">
        <f t="shared" si="0"/>
        <v>49600</v>
      </c>
      <c r="Q6" s="4" t="s">
        <v>160</v>
      </c>
      <c r="R6" s="4" t="s">
        <v>46</v>
      </c>
      <c r="S6" s="4" t="s">
        <v>140</v>
      </c>
    </row>
    <row r="7" spans="1:19" ht="45" x14ac:dyDescent="0.5">
      <c r="A7" s="15">
        <v>3</v>
      </c>
      <c r="B7" s="6" t="s">
        <v>92</v>
      </c>
      <c r="C7" s="4" t="s">
        <v>164</v>
      </c>
      <c r="D7" s="4" t="s">
        <v>165</v>
      </c>
      <c r="E7" s="4" t="s">
        <v>144</v>
      </c>
      <c r="F7" s="16"/>
      <c r="G7" s="16"/>
      <c r="H7" s="10" t="s">
        <v>139</v>
      </c>
      <c r="I7" s="17">
        <v>1</v>
      </c>
      <c r="J7" s="18">
        <v>4000</v>
      </c>
      <c r="K7" s="10" t="s">
        <v>131</v>
      </c>
      <c r="L7" s="19">
        <v>1</v>
      </c>
      <c r="M7" s="20" t="s">
        <v>46</v>
      </c>
      <c r="N7" s="18" t="s">
        <v>46</v>
      </c>
      <c r="O7" s="18" t="s">
        <v>46</v>
      </c>
      <c r="P7" s="21">
        <f t="shared" ref="P7" si="1">IF(OR(I7="",J7=""),"",I7*J7*IF(L7="",1,L7)*(1+IF(M7="",0,M7))+IF(N7="",0,N7)+IF(O7="",0,O7))</f>
        <v>4000</v>
      </c>
      <c r="Q7" s="4" t="s">
        <v>145</v>
      </c>
      <c r="R7" s="4" t="s">
        <v>46</v>
      </c>
      <c r="S7" s="4" t="s">
        <v>140</v>
      </c>
    </row>
    <row r="8" spans="1:19" ht="45" x14ac:dyDescent="0.5">
      <c r="A8" s="15">
        <v>3</v>
      </c>
      <c r="B8" s="6" t="s">
        <v>92</v>
      </c>
      <c r="C8" s="4" t="s">
        <v>166</v>
      </c>
      <c r="D8" s="4" t="s">
        <v>167</v>
      </c>
      <c r="E8" s="4"/>
      <c r="F8" s="16"/>
      <c r="G8" s="16" t="s">
        <v>46</v>
      </c>
      <c r="H8" s="10" t="s">
        <v>139</v>
      </c>
      <c r="I8" s="17" t="s">
        <v>46</v>
      </c>
      <c r="J8" s="18" t="s">
        <v>46</v>
      </c>
      <c r="K8" s="10" t="s">
        <v>131</v>
      </c>
      <c r="L8" s="19">
        <v>1</v>
      </c>
      <c r="M8" s="20" t="s">
        <v>46</v>
      </c>
      <c r="N8" s="18" t="s">
        <v>46</v>
      </c>
      <c r="O8" s="18" t="s">
        <v>46</v>
      </c>
      <c r="P8" s="21" t="str">
        <f t="shared" si="0"/>
        <v/>
      </c>
      <c r="Q8" s="4" t="s">
        <v>46</v>
      </c>
      <c r="R8" s="4" t="s">
        <v>46</v>
      </c>
      <c r="S8" s="4" t="s">
        <v>47</v>
      </c>
    </row>
    <row r="9" spans="1:19" ht="30" x14ac:dyDescent="0.5">
      <c r="A9" s="15">
        <v>4</v>
      </c>
      <c r="B9" s="6" t="s">
        <v>92</v>
      </c>
      <c r="C9" s="4" t="s">
        <v>168</v>
      </c>
      <c r="D9" s="4" t="s">
        <v>169</v>
      </c>
      <c r="E9" s="4" t="s">
        <v>46</v>
      </c>
      <c r="F9" s="16" t="s">
        <v>46</v>
      </c>
      <c r="G9" s="16" t="s">
        <v>46</v>
      </c>
      <c r="H9" s="10" t="s">
        <v>139</v>
      </c>
      <c r="I9" s="17" t="s">
        <v>46</v>
      </c>
      <c r="J9" s="18" t="s">
        <v>46</v>
      </c>
      <c r="K9" s="10" t="s">
        <v>131</v>
      </c>
      <c r="L9" s="19">
        <v>1</v>
      </c>
      <c r="M9" s="20" t="s">
        <v>46</v>
      </c>
      <c r="N9" s="18" t="s">
        <v>46</v>
      </c>
      <c r="O9" s="18" t="s">
        <v>46</v>
      </c>
      <c r="P9" s="21" t="str">
        <f t="shared" si="0"/>
        <v/>
      </c>
      <c r="Q9" s="4" t="s">
        <v>46</v>
      </c>
      <c r="R9" s="4" t="s">
        <v>46</v>
      </c>
      <c r="S9" s="4" t="s">
        <v>47</v>
      </c>
    </row>
    <row r="10" spans="1:19" ht="45" x14ac:dyDescent="0.5">
      <c r="A10" s="15">
        <v>5</v>
      </c>
      <c r="B10" s="6" t="s">
        <v>92</v>
      </c>
      <c r="C10" s="4" t="s">
        <v>168</v>
      </c>
      <c r="D10" s="4" t="s">
        <v>170</v>
      </c>
      <c r="E10" s="4" t="s">
        <v>46</v>
      </c>
      <c r="F10" s="16" t="s">
        <v>46</v>
      </c>
      <c r="G10" s="16" t="s">
        <v>46</v>
      </c>
      <c r="H10" s="10" t="s">
        <v>139</v>
      </c>
      <c r="I10" s="17" t="s">
        <v>46</v>
      </c>
      <c r="J10" s="18" t="s">
        <v>46</v>
      </c>
      <c r="K10" s="10" t="s">
        <v>131</v>
      </c>
      <c r="L10" s="19">
        <v>1</v>
      </c>
      <c r="M10" s="20" t="s">
        <v>46</v>
      </c>
      <c r="N10" s="18" t="s">
        <v>46</v>
      </c>
      <c r="O10" s="18" t="s">
        <v>46</v>
      </c>
      <c r="P10" s="21" t="str">
        <f t="shared" si="0"/>
        <v/>
      </c>
      <c r="Q10" s="4" t="s">
        <v>46</v>
      </c>
      <c r="R10" s="4" t="s">
        <v>46</v>
      </c>
      <c r="S10" s="4" t="s">
        <v>47</v>
      </c>
    </row>
    <row r="11" spans="1:19" ht="30" x14ac:dyDescent="0.5">
      <c r="A11" s="15">
        <v>6</v>
      </c>
      <c r="B11" s="6" t="s">
        <v>92</v>
      </c>
      <c r="C11" s="4" t="s">
        <v>171</v>
      </c>
      <c r="D11" s="4" t="s">
        <v>172</v>
      </c>
      <c r="E11" s="4" t="s">
        <v>46</v>
      </c>
      <c r="F11" s="16" t="s">
        <v>46</v>
      </c>
      <c r="G11" s="16" t="s">
        <v>46</v>
      </c>
      <c r="H11" s="10" t="s">
        <v>139</v>
      </c>
      <c r="I11" s="17"/>
      <c r="J11" s="18" t="s">
        <v>46</v>
      </c>
      <c r="K11" s="10" t="s">
        <v>131</v>
      </c>
      <c r="L11" s="19">
        <v>1</v>
      </c>
      <c r="M11" s="20" t="s">
        <v>46</v>
      </c>
      <c r="N11" s="18" t="s">
        <v>46</v>
      </c>
      <c r="O11" s="18" t="s">
        <v>46</v>
      </c>
      <c r="P11" s="21" t="str">
        <f t="shared" si="0"/>
        <v/>
      </c>
      <c r="Q11" s="4" t="s">
        <v>46</v>
      </c>
      <c r="R11" s="4" t="s">
        <v>46</v>
      </c>
      <c r="S11" s="4" t="s">
        <v>47</v>
      </c>
    </row>
    <row r="12" spans="1:19" ht="30" x14ac:dyDescent="0.5">
      <c r="A12" s="15">
        <v>7</v>
      </c>
      <c r="B12" s="6" t="s">
        <v>92</v>
      </c>
      <c r="C12" s="4" t="s">
        <v>171</v>
      </c>
      <c r="D12" s="4" t="s">
        <v>173</v>
      </c>
      <c r="E12" s="4" t="s">
        <v>46</v>
      </c>
      <c r="F12" s="16"/>
      <c r="G12" s="16"/>
      <c r="H12" s="10" t="s">
        <v>174</v>
      </c>
      <c r="I12" s="17" t="s">
        <v>46</v>
      </c>
      <c r="J12" s="18" t="s">
        <v>46</v>
      </c>
      <c r="K12" s="10" t="s">
        <v>131</v>
      </c>
      <c r="L12" s="19">
        <v>1</v>
      </c>
      <c r="M12" s="20" t="s">
        <v>46</v>
      </c>
      <c r="N12" s="18" t="s">
        <v>46</v>
      </c>
      <c r="O12" s="18" t="s">
        <v>46</v>
      </c>
      <c r="P12" s="21" t="str">
        <f t="shared" si="0"/>
        <v/>
      </c>
      <c r="Q12" s="4" t="s">
        <v>46</v>
      </c>
      <c r="R12" s="4" t="s">
        <v>46</v>
      </c>
      <c r="S12" s="4" t="s">
        <v>47</v>
      </c>
    </row>
    <row r="13" spans="1:19" ht="45" x14ac:dyDescent="0.5">
      <c r="A13" s="15">
        <v>8</v>
      </c>
      <c r="B13" s="6" t="s">
        <v>92</v>
      </c>
      <c r="C13" s="4" t="s">
        <v>146</v>
      </c>
      <c r="D13" s="4" t="s">
        <v>175</v>
      </c>
      <c r="E13" s="4" t="s">
        <v>46</v>
      </c>
      <c r="F13" s="16" t="s">
        <v>46</v>
      </c>
      <c r="G13" s="16" t="s">
        <v>46</v>
      </c>
      <c r="H13" s="10" t="s">
        <v>148</v>
      </c>
      <c r="I13" s="17">
        <v>1</v>
      </c>
      <c r="J13" s="18">
        <v>300</v>
      </c>
      <c r="K13" s="10" t="s">
        <v>131</v>
      </c>
      <c r="L13" s="19">
        <v>1</v>
      </c>
      <c r="M13" s="20" t="s">
        <v>46</v>
      </c>
      <c r="N13" s="18" t="s">
        <v>46</v>
      </c>
      <c r="O13" s="18" t="s">
        <v>46</v>
      </c>
      <c r="P13" s="21">
        <f t="shared" si="0"/>
        <v>300</v>
      </c>
      <c r="Q13" s="4" t="s">
        <v>46</v>
      </c>
      <c r="R13" s="4" t="s">
        <v>46</v>
      </c>
      <c r="S13" s="4" t="s">
        <v>47</v>
      </c>
    </row>
    <row r="14" spans="1:19" s="40" customFormat="1" ht="65.25" customHeight="1" x14ac:dyDescent="0.45">
      <c r="A14" s="35" t="s">
        <v>176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7"/>
      <c r="P14" s="46">
        <f>SUMIFS($P$5:$P$13,$S$5:$S$13,"是 / Yes")</f>
        <v>53600</v>
      </c>
      <c r="Q14" s="66" t="s">
        <v>152</v>
      </c>
      <c r="R14" s="67"/>
      <c r="S14" s="68"/>
    </row>
  </sheetData>
  <mergeCells count="3">
    <mergeCell ref="A3:S3"/>
    <mergeCell ref="A1:S1"/>
    <mergeCell ref="Q14:S14"/>
  </mergeCells>
  <phoneticPr fontId="2" type="noConversion"/>
  <dataValidations count="6">
    <dataValidation type="decimal" operator="greaterThanOrEqual" allowBlank="1" error="数量必须是数字" promptTitle="数量 / Qty" prompt="请输入数字；可填整数或小数" sqref="I5:I13" xr:uid="{00000000-0002-0000-0400-000002000000}">
      <formula1>0</formula1>
    </dataValidation>
    <dataValidation type="decimal" operator="greaterThanOrEqual" allowBlank="1" error="单价必须是数字" promptTitle="单价 / Unit Price" prompt="请输入数字；可填整数或小数" sqref="J5:J13" xr:uid="{00000000-0002-0000-0400-000003000000}">
      <formula1>0</formula1>
    </dataValidation>
    <dataValidation type="decimal" operator="greaterThanOrEqual" allowBlank="1" error="汇率必须是数字" promptTitle="汇率 / FX" prompt="请输入数字；可填整数或小数" sqref="L5:L13" xr:uid="{00000000-0002-0000-0400-000004000000}">
      <formula1>0</formula1>
    </dataValidation>
    <dataValidation type="decimal" operator="greaterThanOrEqual" allowBlank="1" error="税费率必须是数字" promptTitle="税费率 / Tax Rate" prompt="请输入数字；可填整数或小数" sqref="M5:M13" xr:uid="{00000000-0002-0000-0400-000005000000}">
      <formula1>0</formula1>
    </dataValidation>
    <dataValidation type="decimal" operator="greaterThanOrEqual" allowBlank="1" error="运费必须是数字" promptTitle="运费 / Freight" prompt="请输入数字；可填整数或小数" sqref="N5:N13" xr:uid="{00000000-0002-0000-0400-000006000000}">
      <formula1>0</formula1>
    </dataValidation>
    <dataValidation type="decimal" operator="greaterThanOrEqual" allowBlank="1" error="其他调整必须是数字" promptTitle="其他调整 / Other Adj." prompt="请输入数字；可填整数或小数" sqref="O5:O13" xr:uid="{00000000-0002-0000-0400-000007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="请从下拉列表中选择子类" promptTitle="子类 / Subcategory" prompt="请选择子类" xr:uid="{00000000-0002-0000-0400-000000000000}">
          <x14:formula1>
            <xm:f>'99_下拉选项'!$F$1:$F$24</xm:f>
          </x14:formula1>
          <xm:sqref>C5:C13</xm:sqref>
        </x14:dataValidation>
        <x14:dataValidation type="list" allowBlank="1" error="请从下拉列表中选择币种" promptTitle="币种 / Currency" prompt="请选择币种" xr:uid="{00000000-0002-0000-0400-000001000000}">
          <x14:formula1>
            <xm:f>'99_下拉选项'!$B$1:$B$13</xm:f>
          </x14:formula1>
          <xm:sqref>K5:K13</xm:sqref>
        </x14:dataValidation>
        <x14:dataValidation type="list" allowBlank="1" showInputMessage="1" showErrorMessage="1" xr:uid="{B39A391A-C475-454C-BEC5-D4A4E63706EF}">
          <x14:formula1>
            <xm:f>'99_下拉选项'!$A$1:$A$2</xm:f>
          </x14:formula1>
          <xm:sqref>S5:S13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1"/>
  <sheetViews>
    <sheetView showGridLines="0" zoomScale="85" zoomScaleNormal="85" workbookViewId="0">
      <selection activeCell="Q14" sqref="Q14"/>
    </sheetView>
  </sheetViews>
  <sheetFormatPr defaultColWidth="9.1328125" defaultRowHeight="15" x14ac:dyDescent="0.5"/>
  <cols>
    <col min="1" max="1" width="15.3984375" style="1" customWidth="1"/>
    <col min="2" max="2" width="18.3984375" style="1" customWidth="1"/>
    <col min="3" max="3" width="19.73046875" style="1" customWidth="1"/>
    <col min="4" max="4" width="22.86328125" style="1" customWidth="1"/>
    <col min="5" max="5" width="14" style="1" customWidth="1"/>
    <col min="6" max="6" width="16" style="1" customWidth="1"/>
    <col min="7" max="7" width="20" style="1" customWidth="1"/>
    <col min="8" max="8" width="18" style="1" customWidth="1"/>
    <col min="9" max="9" width="10" style="1" customWidth="1"/>
    <col min="10" max="10" width="12" style="1" customWidth="1"/>
    <col min="11" max="11" width="11.265625" style="1" customWidth="1"/>
    <col min="12" max="13" width="10" style="1" customWidth="1"/>
    <col min="14" max="15" width="12" style="1" customWidth="1"/>
    <col min="16" max="16" width="14" style="1" customWidth="1"/>
    <col min="17" max="17" width="18" style="1" customWidth="1"/>
    <col min="18" max="18" width="20" style="1" customWidth="1"/>
    <col min="19" max="19" width="10" style="1" customWidth="1"/>
    <col min="20" max="16384" width="9.1328125" style="1"/>
  </cols>
  <sheetData>
    <row r="1" spans="1:19" ht="24" customHeight="1" x14ac:dyDescent="0.5">
      <c r="A1" s="54" t="s">
        <v>177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</row>
    <row r="3" spans="1:19" x14ac:dyDescent="0.5">
      <c r="A3" s="57" t="s">
        <v>108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</row>
    <row r="4" spans="1:19" s="2" customFormat="1" ht="51.75" customHeight="1" x14ac:dyDescent="0.5">
      <c r="A4" s="14" t="s">
        <v>83</v>
      </c>
      <c r="B4" s="14" t="s">
        <v>109</v>
      </c>
      <c r="C4" s="14" t="s">
        <v>110</v>
      </c>
      <c r="D4" s="14" t="s">
        <v>111</v>
      </c>
      <c r="E4" s="14" t="s">
        <v>112</v>
      </c>
      <c r="F4" s="14" t="s">
        <v>113</v>
      </c>
      <c r="G4" s="14" t="s">
        <v>114</v>
      </c>
      <c r="H4" s="14" t="s">
        <v>115</v>
      </c>
      <c r="I4" s="14" t="s">
        <v>116</v>
      </c>
      <c r="J4" s="14" t="s">
        <v>117</v>
      </c>
      <c r="K4" s="14" t="s">
        <v>118</v>
      </c>
      <c r="L4" s="14" t="s">
        <v>119</v>
      </c>
      <c r="M4" s="14" t="s">
        <v>120</v>
      </c>
      <c r="N4" s="14" t="s">
        <v>121</v>
      </c>
      <c r="O4" s="14" t="s">
        <v>122</v>
      </c>
      <c r="P4" s="14" t="s">
        <v>123</v>
      </c>
      <c r="Q4" s="14" t="s">
        <v>124</v>
      </c>
      <c r="R4" s="14" t="s">
        <v>60</v>
      </c>
      <c r="S4" s="14" t="s">
        <v>125</v>
      </c>
    </row>
    <row r="5" spans="1:19" ht="30" x14ac:dyDescent="0.5">
      <c r="A5" s="15">
        <v>1</v>
      </c>
      <c r="B5" s="6" t="s">
        <v>95</v>
      </c>
      <c r="C5" s="4" t="s">
        <v>178</v>
      </c>
      <c r="D5" s="4" t="s">
        <v>179</v>
      </c>
      <c r="E5" s="4" t="s">
        <v>46</v>
      </c>
      <c r="F5" s="10" t="s">
        <v>46</v>
      </c>
      <c r="G5" s="16" t="s">
        <v>180</v>
      </c>
      <c r="H5" s="10" t="s">
        <v>139</v>
      </c>
      <c r="I5" s="17">
        <v>1</v>
      </c>
      <c r="J5" s="18">
        <v>45000</v>
      </c>
      <c r="K5" s="10" t="s">
        <v>131</v>
      </c>
      <c r="L5" s="19">
        <v>1</v>
      </c>
      <c r="M5" s="20" t="s">
        <v>46</v>
      </c>
      <c r="N5" s="18" t="s">
        <v>46</v>
      </c>
      <c r="O5" s="18" t="s">
        <v>46</v>
      </c>
      <c r="P5" s="21">
        <f t="shared" ref="P5:P10" si="0">IF(OR(I5="",J5=""),"",I5*J5*IF(L5="",1,L5)*(1+IF(M5="",0,M5))+IF(N5="",0,N5)+IF(O5="",0,O5))</f>
        <v>45000</v>
      </c>
      <c r="Q5" s="4" t="s">
        <v>46</v>
      </c>
      <c r="R5" s="4" t="s">
        <v>46</v>
      </c>
      <c r="S5" s="4" t="s">
        <v>140</v>
      </c>
    </row>
    <row r="6" spans="1:19" ht="30" x14ac:dyDescent="0.5">
      <c r="A6" s="15">
        <v>2</v>
      </c>
      <c r="B6" s="6" t="s">
        <v>95</v>
      </c>
      <c r="C6" s="4" t="s">
        <v>181</v>
      </c>
      <c r="D6" s="4" t="s">
        <v>182</v>
      </c>
      <c r="E6" s="4" t="s">
        <v>46</v>
      </c>
      <c r="F6" s="10" t="s">
        <v>46</v>
      </c>
      <c r="G6" s="16" t="s">
        <v>46</v>
      </c>
      <c r="H6" s="10" t="s">
        <v>139</v>
      </c>
      <c r="I6" s="17" t="s">
        <v>46</v>
      </c>
      <c r="J6" s="18" t="s">
        <v>46</v>
      </c>
      <c r="K6" s="10" t="s">
        <v>131</v>
      </c>
      <c r="L6" s="19">
        <v>1</v>
      </c>
      <c r="M6" s="20" t="s">
        <v>46</v>
      </c>
      <c r="N6" s="18" t="s">
        <v>46</v>
      </c>
      <c r="O6" s="18" t="s">
        <v>46</v>
      </c>
      <c r="P6" s="21" t="str">
        <f t="shared" si="0"/>
        <v/>
      </c>
      <c r="Q6" s="4" t="s">
        <v>46</v>
      </c>
      <c r="R6" s="4" t="s">
        <v>46</v>
      </c>
      <c r="S6" s="4" t="s">
        <v>47</v>
      </c>
    </row>
    <row r="7" spans="1:19" ht="30" x14ac:dyDescent="0.5">
      <c r="A7" s="15">
        <v>3</v>
      </c>
      <c r="B7" s="6" t="s">
        <v>95</v>
      </c>
      <c r="C7" s="4" t="s">
        <v>181</v>
      </c>
      <c r="D7" s="4" t="s">
        <v>183</v>
      </c>
      <c r="E7" s="4" t="s">
        <v>46</v>
      </c>
      <c r="F7" s="10" t="s">
        <v>46</v>
      </c>
      <c r="G7" s="16" t="s">
        <v>46</v>
      </c>
      <c r="H7" s="10" t="s">
        <v>139</v>
      </c>
      <c r="I7" s="17" t="s">
        <v>46</v>
      </c>
      <c r="J7" s="18" t="s">
        <v>46</v>
      </c>
      <c r="K7" s="10" t="s">
        <v>131</v>
      </c>
      <c r="L7" s="19">
        <v>1</v>
      </c>
      <c r="M7" s="20" t="s">
        <v>46</v>
      </c>
      <c r="N7" s="18" t="s">
        <v>46</v>
      </c>
      <c r="O7" s="18" t="s">
        <v>46</v>
      </c>
      <c r="P7" s="21" t="str">
        <f t="shared" si="0"/>
        <v/>
      </c>
      <c r="Q7" s="4" t="s">
        <v>46</v>
      </c>
      <c r="R7" s="4" t="s">
        <v>46</v>
      </c>
      <c r="S7" s="4" t="s">
        <v>47</v>
      </c>
    </row>
    <row r="8" spans="1:19" ht="30" x14ac:dyDescent="0.5">
      <c r="A8" s="15">
        <v>4</v>
      </c>
      <c r="B8" s="6" t="s">
        <v>95</v>
      </c>
      <c r="C8" s="4" t="s">
        <v>181</v>
      </c>
      <c r="D8" s="4" t="s">
        <v>184</v>
      </c>
      <c r="E8" s="4" t="s">
        <v>46</v>
      </c>
      <c r="F8" s="10" t="s">
        <v>46</v>
      </c>
      <c r="G8" s="16" t="s">
        <v>46</v>
      </c>
      <c r="H8" s="10" t="s">
        <v>139</v>
      </c>
      <c r="I8" s="17" t="s">
        <v>46</v>
      </c>
      <c r="J8" s="18" t="s">
        <v>46</v>
      </c>
      <c r="K8" s="10" t="s">
        <v>131</v>
      </c>
      <c r="L8" s="19">
        <v>1</v>
      </c>
      <c r="M8" s="20" t="s">
        <v>46</v>
      </c>
      <c r="N8" s="18" t="s">
        <v>46</v>
      </c>
      <c r="O8" s="18" t="s">
        <v>46</v>
      </c>
      <c r="P8" s="21" t="str">
        <f t="shared" si="0"/>
        <v/>
      </c>
      <c r="Q8" s="4" t="s">
        <v>46</v>
      </c>
      <c r="R8" s="4" t="s">
        <v>46</v>
      </c>
      <c r="S8" s="4" t="s">
        <v>47</v>
      </c>
    </row>
    <row r="9" spans="1:19" ht="45" x14ac:dyDescent="0.5">
      <c r="A9" s="15">
        <v>5</v>
      </c>
      <c r="B9" s="6" t="s">
        <v>95</v>
      </c>
      <c r="C9" s="4" t="s">
        <v>146</v>
      </c>
      <c r="D9" s="4" t="s">
        <v>185</v>
      </c>
      <c r="E9" s="4" t="s">
        <v>46</v>
      </c>
      <c r="F9" s="10" t="s">
        <v>46</v>
      </c>
      <c r="G9" s="16" t="s">
        <v>46</v>
      </c>
      <c r="H9" s="10" t="s">
        <v>139</v>
      </c>
      <c r="I9" s="17" t="s">
        <v>46</v>
      </c>
      <c r="J9" s="18" t="s">
        <v>46</v>
      </c>
      <c r="K9" s="10" t="s">
        <v>131</v>
      </c>
      <c r="L9" s="19">
        <v>1</v>
      </c>
      <c r="M9" s="20" t="s">
        <v>46</v>
      </c>
      <c r="N9" s="18" t="s">
        <v>46</v>
      </c>
      <c r="O9" s="18" t="s">
        <v>46</v>
      </c>
      <c r="P9" s="21" t="str">
        <f t="shared" si="0"/>
        <v/>
      </c>
      <c r="Q9" s="4" t="s">
        <v>46</v>
      </c>
      <c r="R9" s="4" t="s">
        <v>46</v>
      </c>
      <c r="S9" s="4" t="s">
        <v>47</v>
      </c>
    </row>
    <row r="10" spans="1:19" ht="45" x14ac:dyDescent="0.5">
      <c r="A10" s="15">
        <v>6</v>
      </c>
      <c r="B10" s="6" t="s">
        <v>95</v>
      </c>
      <c r="C10" s="4" t="s">
        <v>146</v>
      </c>
      <c r="D10" s="4" t="s">
        <v>186</v>
      </c>
      <c r="E10" s="4" t="s">
        <v>46</v>
      </c>
      <c r="F10" s="10" t="s">
        <v>46</v>
      </c>
      <c r="G10" s="16" t="s">
        <v>46</v>
      </c>
      <c r="H10" s="10" t="s">
        <v>148</v>
      </c>
      <c r="I10" s="17" t="s">
        <v>46</v>
      </c>
      <c r="J10" s="18" t="s">
        <v>46</v>
      </c>
      <c r="K10" s="10" t="s">
        <v>131</v>
      </c>
      <c r="L10" s="19">
        <v>1</v>
      </c>
      <c r="M10" s="20" t="s">
        <v>46</v>
      </c>
      <c r="N10" s="18" t="s">
        <v>46</v>
      </c>
      <c r="O10" s="18" t="s">
        <v>46</v>
      </c>
      <c r="P10" s="21" t="str">
        <f t="shared" si="0"/>
        <v/>
      </c>
      <c r="Q10" s="4" t="s">
        <v>46</v>
      </c>
      <c r="R10" s="4" t="s">
        <v>46</v>
      </c>
      <c r="S10" s="4" t="s">
        <v>47</v>
      </c>
    </row>
    <row r="11" spans="1:19" s="40" customFormat="1" ht="54" customHeight="1" x14ac:dyDescent="0.45">
      <c r="A11" s="35" t="s">
        <v>176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7"/>
      <c r="P11" s="38">
        <f>SUMIFS($P$5:$P$10,$S$5:$S$10,"是 / Yes")</f>
        <v>45000</v>
      </c>
      <c r="Q11" s="66" t="s">
        <v>152</v>
      </c>
      <c r="R11" s="67"/>
      <c r="S11" s="68"/>
    </row>
  </sheetData>
  <mergeCells count="3">
    <mergeCell ref="A3:S3"/>
    <mergeCell ref="A1:S1"/>
    <mergeCell ref="Q11:S11"/>
  </mergeCells>
  <phoneticPr fontId="2" type="noConversion"/>
  <dataValidations count="6">
    <dataValidation type="decimal" operator="greaterThanOrEqual" allowBlank="1" error="数量必须是数字" promptTitle="数量 / Qty" prompt="请输入数字；可填整数或小数" sqref="I5:I10" xr:uid="{00000000-0002-0000-0500-000002000000}">
      <formula1>0</formula1>
    </dataValidation>
    <dataValidation type="decimal" operator="greaterThanOrEqual" allowBlank="1" error="单价必须是数字" promptTitle="单价 / Unit Price" prompt="请输入数字；可填整数或小数" sqref="J5:J10" xr:uid="{00000000-0002-0000-0500-000003000000}">
      <formula1>0</formula1>
    </dataValidation>
    <dataValidation type="decimal" operator="greaterThanOrEqual" allowBlank="1" error="汇率必须是数字" promptTitle="汇率 / FX" prompt="请输入数字；可填整数或小数" sqref="L5:L10" xr:uid="{00000000-0002-0000-0500-000004000000}">
      <formula1>0</formula1>
    </dataValidation>
    <dataValidation type="decimal" operator="greaterThanOrEqual" allowBlank="1" error="税费率必须是数字" promptTitle="税费率 / Tax Rate" prompt="请输入数字；可填整数或小数" sqref="M5:M10" xr:uid="{00000000-0002-0000-0500-000005000000}">
      <formula1>0</formula1>
    </dataValidation>
    <dataValidation type="decimal" operator="greaterThanOrEqual" allowBlank="1" error="运费必须是数字" promptTitle="运费 / Freight" prompt="请输入数字；可填整数或小数" sqref="N5:N10" xr:uid="{00000000-0002-0000-0500-000006000000}">
      <formula1>0</formula1>
    </dataValidation>
    <dataValidation type="decimal" operator="greaterThanOrEqual" allowBlank="1" error="其他调整必须是数字" promptTitle="其他调整 / Other Adj." prompt="请输入数字；可填整数或小数" sqref="O5:O10" xr:uid="{00000000-0002-0000-0500-000007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="请从下拉列表中选择子类" promptTitle="子类 / Subcategory" prompt="请选择子类" xr:uid="{00000000-0002-0000-0500-000000000000}">
          <x14:formula1>
            <xm:f>'99_下拉选项'!$F$1:$F$24</xm:f>
          </x14:formula1>
          <xm:sqref>C5:C10</xm:sqref>
        </x14:dataValidation>
        <x14:dataValidation type="list" allowBlank="1" error="请从下拉列表中选择币种" promptTitle="币种 / Currency" prompt="请选择币种" xr:uid="{00000000-0002-0000-0500-000001000000}">
          <x14:formula1>
            <xm:f>'99_下拉选项'!$B$1:$B$13</xm:f>
          </x14:formula1>
          <xm:sqref>K5:K10</xm:sqref>
        </x14:dataValidation>
        <x14:dataValidation type="list" allowBlank="1" showInputMessage="1" showErrorMessage="1" xr:uid="{2BFC2352-5E79-4B47-BE8F-BF5A1075AD81}">
          <x14:formula1>
            <xm:f>'99_下拉选项'!$A$1:$A$2</xm:f>
          </x14:formula1>
          <xm:sqref>S5:S10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3"/>
  <sheetViews>
    <sheetView showGridLines="0" zoomScale="85" zoomScaleNormal="85" workbookViewId="0">
      <selection activeCell="E12" sqref="E12"/>
    </sheetView>
  </sheetViews>
  <sheetFormatPr defaultColWidth="9.1328125" defaultRowHeight="15" x14ac:dyDescent="0.5"/>
  <cols>
    <col min="1" max="1" width="9.265625" style="1" customWidth="1"/>
    <col min="2" max="2" width="17.73046875" style="1" customWidth="1"/>
    <col min="3" max="3" width="20.265625" style="1" customWidth="1"/>
    <col min="4" max="4" width="21.3984375" style="1" customWidth="1"/>
    <col min="5" max="5" width="14" style="1" customWidth="1"/>
    <col min="6" max="6" width="16" style="1" customWidth="1"/>
    <col min="7" max="7" width="20" style="1" customWidth="1"/>
    <col min="8" max="8" width="18" style="1" customWidth="1"/>
    <col min="9" max="9" width="10" style="1" customWidth="1"/>
    <col min="10" max="10" width="12" style="1" customWidth="1"/>
    <col min="11" max="11" width="11.59765625" style="1" customWidth="1"/>
    <col min="12" max="13" width="10" style="1" customWidth="1"/>
    <col min="14" max="14" width="11.1328125" style="1" customWidth="1"/>
    <col min="15" max="15" width="12" style="1" customWidth="1"/>
    <col min="16" max="16" width="14" style="1" customWidth="1"/>
    <col min="17" max="17" width="18" style="1" customWidth="1"/>
    <col min="18" max="18" width="20" style="1" customWidth="1"/>
    <col min="19" max="19" width="10" style="1" customWidth="1"/>
    <col min="20" max="16384" width="9.1328125" style="1"/>
  </cols>
  <sheetData>
    <row r="1" spans="1:19" ht="24" customHeight="1" x14ac:dyDescent="0.5">
      <c r="A1" s="54" t="s">
        <v>187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</row>
    <row r="3" spans="1:19" x14ac:dyDescent="0.5">
      <c r="A3" s="57" t="s">
        <v>108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</row>
    <row r="4" spans="1:19" s="2" customFormat="1" ht="45" customHeight="1" x14ac:dyDescent="0.5">
      <c r="A4" s="14" t="s">
        <v>83</v>
      </c>
      <c r="B4" s="14" t="s">
        <v>109</v>
      </c>
      <c r="C4" s="14" t="s">
        <v>110</v>
      </c>
      <c r="D4" s="14" t="s">
        <v>111</v>
      </c>
      <c r="E4" s="14" t="s">
        <v>112</v>
      </c>
      <c r="F4" s="14" t="s">
        <v>113</v>
      </c>
      <c r="G4" s="14" t="s">
        <v>114</v>
      </c>
      <c r="H4" s="14" t="s">
        <v>115</v>
      </c>
      <c r="I4" s="14" t="s">
        <v>116</v>
      </c>
      <c r="J4" s="14" t="s">
        <v>117</v>
      </c>
      <c r="K4" s="14" t="s">
        <v>118</v>
      </c>
      <c r="L4" s="14" t="s">
        <v>119</v>
      </c>
      <c r="M4" s="14" t="s">
        <v>120</v>
      </c>
      <c r="N4" s="14" t="s">
        <v>121</v>
      </c>
      <c r="O4" s="14" t="s">
        <v>122</v>
      </c>
      <c r="P4" s="14" t="s">
        <v>123</v>
      </c>
      <c r="Q4" s="14" t="s">
        <v>124</v>
      </c>
      <c r="R4" s="14" t="s">
        <v>60</v>
      </c>
      <c r="S4" s="14" t="s">
        <v>125</v>
      </c>
    </row>
    <row r="5" spans="1:19" ht="45" x14ac:dyDescent="0.5">
      <c r="A5" s="15">
        <v>1</v>
      </c>
      <c r="B5" s="6" t="s">
        <v>98</v>
      </c>
      <c r="C5" s="4" t="s">
        <v>188</v>
      </c>
      <c r="D5" s="4" t="s">
        <v>189</v>
      </c>
      <c r="E5" s="4"/>
      <c r="F5" s="10" t="s">
        <v>46</v>
      </c>
      <c r="G5" s="16" t="s">
        <v>46</v>
      </c>
      <c r="H5" s="10" t="s">
        <v>139</v>
      </c>
      <c r="I5" s="17">
        <v>1</v>
      </c>
      <c r="J5" s="18">
        <v>26000</v>
      </c>
      <c r="K5" s="10" t="s">
        <v>131</v>
      </c>
      <c r="L5" s="19">
        <v>1</v>
      </c>
      <c r="M5" s="20" t="s">
        <v>46</v>
      </c>
      <c r="N5" s="18" t="s">
        <v>46</v>
      </c>
      <c r="O5" s="18" t="s">
        <v>46</v>
      </c>
      <c r="P5" s="21">
        <f t="shared" ref="P5:P12" si="0">IF(OR(I5="",J5=""),"",I5*J5*IF(L5="",1,L5)*(1+IF(M5="",0,M5))+IF(N5="",0,N5)+IF(O5="",0,O5))</f>
        <v>26000</v>
      </c>
      <c r="Q5" s="4" t="s">
        <v>46</v>
      </c>
      <c r="R5" s="4" t="s">
        <v>46</v>
      </c>
      <c r="S5" s="4" t="s">
        <v>140</v>
      </c>
    </row>
    <row r="6" spans="1:19" ht="30" x14ac:dyDescent="0.5">
      <c r="A6" s="15">
        <v>2</v>
      </c>
      <c r="B6" s="6" t="s">
        <v>98</v>
      </c>
      <c r="C6" s="4" t="s">
        <v>190</v>
      </c>
      <c r="D6" s="4" t="s">
        <v>190</v>
      </c>
      <c r="E6" s="4" t="s">
        <v>46</v>
      </c>
      <c r="F6" s="10" t="s">
        <v>46</v>
      </c>
      <c r="G6" s="16" t="s">
        <v>46</v>
      </c>
      <c r="H6" s="10" t="s">
        <v>139</v>
      </c>
      <c r="I6" s="17" t="s">
        <v>46</v>
      </c>
      <c r="J6" s="18" t="s">
        <v>46</v>
      </c>
      <c r="K6" s="10" t="s">
        <v>131</v>
      </c>
      <c r="L6" s="19">
        <v>1</v>
      </c>
      <c r="M6" s="20" t="s">
        <v>46</v>
      </c>
      <c r="N6" s="18" t="s">
        <v>46</v>
      </c>
      <c r="O6" s="18" t="s">
        <v>46</v>
      </c>
      <c r="P6" s="21" t="str">
        <f t="shared" si="0"/>
        <v/>
      </c>
      <c r="Q6" s="4" t="s">
        <v>46</v>
      </c>
      <c r="R6" s="4" t="s">
        <v>46</v>
      </c>
      <c r="S6" s="4" t="s">
        <v>47</v>
      </c>
    </row>
    <row r="7" spans="1:19" ht="30" x14ac:dyDescent="0.5">
      <c r="A7" s="15">
        <v>3</v>
      </c>
      <c r="B7" s="6" t="s">
        <v>98</v>
      </c>
      <c r="C7" s="4" t="s">
        <v>191</v>
      </c>
      <c r="D7" s="4" t="s">
        <v>192</v>
      </c>
      <c r="E7" s="4" t="s">
        <v>46</v>
      </c>
      <c r="F7" s="10" t="s">
        <v>46</v>
      </c>
      <c r="G7" s="16" t="s">
        <v>193</v>
      </c>
      <c r="H7" s="10" t="s">
        <v>194</v>
      </c>
      <c r="I7" s="17">
        <v>1</v>
      </c>
      <c r="J7" s="18">
        <v>200</v>
      </c>
      <c r="K7" s="10" t="s">
        <v>131</v>
      </c>
      <c r="L7" s="19">
        <v>1</v>
      </c>
      <c r="M7" s="20" t="s">
        <v>46</v>
      </c>
      <c r="N7" s="18" t="s">
        <v>46</v>
      </c>
      <c r="O7" s="18" t="s">
        <v>46</v>
      </c>
      <c r="P7" s="21">
        <f t="shared" si="0"/>
        <v>200</v>
      </c>
      <c r="Q7" s="4" t="s">
        <v>46</v>
      </c>
      <c r="R7" s="4" t="s">
        <v>46</v>
      </c>
      <c r="S7" s="4" t="s">
        <v>140</v>
      </c>
    </row>
    <row r="8" spans="1:19" ht="30" x14ac:dyDescent="0.5">
      <c r="A8" s="15">
        <v>4</v>
      </c>
      <c r="B8" s="6" t="s">
        <v>98</v>
      </c>
      <c r="C8" s="4" t="s">
        <v>195</v>
      </c>
      <c r="D8" s="4" t="s">
        <v>196</v>
      </c>
      <c r="E8" s="4" t="s">
        <v>46</v>
      </c>
      <c r="F8" s="10" t="s">
        <v>46</v>
      </c>
      <c r="G8" s="16" t="s">
        <v>197</v>
      </c>
      <c r="H8" s="10" t="s">
        <v>194</v>
      </c>
      <c r="I8" s="17">
        <v>1</v>
      </c>
      <c r="J8" s="18">
        <v>2000</v>
      </c>
      <c r="K8" s="10" t="s">
        <v>131</v>
      </c>
      <c r="L8" s="19">
        <v>1</v>
      </c>
      <c r="M8" s="20" t="s">
        <v>46</v>
      </c>
      <c r="N8" s="18" t="s">
        <v>46</v>
      </c>
      <c r="O8" s="18" t="s">
        <v>46</v>
      </c>
      <c r="P8" s="21">
        <f t="shared" si="0"/>
        <v>2000</v>
      </c>
      <c r="Q8" s="4"/>
      <c r="R8" s="4" t="s">
        <v>46</v>
      </c>
      <c r="S8" s="4" t="s">
        <v>140</v>
      </c>
    </row>
    <row r="9" spans="1:19" ht="45" x14ac:dyDescent="0.5">
      <c r="A9" s="15">
        <v>5</v>
      </c>
      <c r="B9" s="6" t="s">
        <v>98</v>
      </c>
      <c r="C9" s="4" t="s">
        <v>198</v>
      </c>
      <c r="D9" s="4" t="s">
        <v>199</v>
      </c>
      <c r="E9" s="4" t="s">
        <v>46</v>
      </c>
      <c r="F9" s="10" t="s">
        <v>46</v>
      </c>
      <c r="G9" s="16" t="s">
        <v>46</v>
      </c>
      <c r="H9" s="10" t="s">
        <v>148</v>
      </c>
      <c r="I9" s="17" t="s">
        <v>46</v>
      </c>
      <c r="J9" s="18" t="s">
        <v>46</v>
      </c>
      <c r="K9" s="10" t="s">
        <v>131</v>
      </c>
      <c r="L9" s="19">
        <v>1</v>
      </c>
      <c r="M9" s="20" t="s">
        <v>46</v>
      </c>
      <c r="N9" s="18" t="s">
        <v>46</v>
      </c>
      <c r="O9" s="18" t="s">
        <v>46</v>
      </c>
      <c r="P9" s="21" t="str">
        <f t="shared" si="0"/>
        <v/>
      </c>
      <c r="Q9" s="4" t="s">
        <v>46</v>
      </c>
      <c r="R9" s="4" t="s">
        <v>46</v>
      </c>
      <c r="S9" s="4" t="s">
        <v>47</v>
      </c>
    </row>
    <row r="10" spans="1:19" ht="45" x14ac:dyDescent="0.5">
      <c r="A10" s="15">
        <v>6</v>
      </c>
      <c r="B10" s="6" t="s">
        <v>98</v>
      </c>
      <c r="C10" s="4" t="s">
        <v>200</v>
      </c>
      <c r="D10" s="4" t="s">
        <v>201</v>
      </c>
      <c r="E10" s="4" t="s">
        <v>46</v>
      </c>
      <c r="F10" s="10" t="s">
        <v>46</v>
      </c>
      <c r="G10" s="16" t="s">
        <v>46</v>
      </c>
      <c r="H10" s="10" t="s">
        <v>139</v>
      </c>
      <c r="I10" s="17" t="s">
        <v>46</v>
      </c>
      <c r="J10" s="18" t="s">
        <v>46</v>
      </c>
      <c r="K10" s="10" t="s">
        <v>131</v>
      </c>
      <c r="L10" s="19">
        <v>1</v>
      </c>
      <c r="M10" s="20" t="s">
        <v>46</v>
      </c>
      <c r="N10" s="18" t="s">
        <v>46</v>
      </c>
      <c r="O10" s="18" t="s">
        <v>46</v>
      </c>
      <c r="P10" s="21" t="str">
        <f t="shared" si="0"/>
        <v/>
      </c>
      <c r="Q10" s="4" t="s">
        <v>46</v>
      </c>
      <c r="R10" s="4" t="s">
        <v>46</v>
      </c>
      <c r="S10" s="4" t="s">
        <v>47</v>
      </c>
    </row>
    <row r="11" spans="1:19" ht="45" x14ac:dyDescent="0.5">
      <c r="A11" s="15">
        <v>7</v>
      </c>
      <c r="B11" s="6" t="s">
        <v>98</v>
      </c>
      <c r="C11" s="4" t="s">
        <v>146</v>
      </c>
      <c r="D11" s="4" t="s">
        <v>202</v>
      </c>
      <c r="E11" s="4" t="s">
        <v>46</v>
      </c>
      <c r="F11" s="10" t="s">
        <v>46</v>
      </c>
      <c r="G11" s="16" t="s">
        <v>46</v>
      </c>
      <c r="H11" s="10" t="s">
        <v>148</v>
      </c>
      <c r="I11" s="17" t="s">
        <v>46</v>
      </c>
      <c r="J11" s="18" t="s">
        <v>46</v>
      </c>
      <c r="K11" s="10" t="s">
        <v>131</v>
      </c>
      <c r="L11" s="19">
        <v>1</v>
      </c>
      <c r="M11" s="20" t="s">
        <v>46</v>
      </c>
      <c r="N11" s="18" t="s">
        <v>46</v>
      </c>
      <c r="O11" s="18" t="s">
        <v>46</v>
      </c>
      <c r="P11" s="21" t="str">
        <f t="shared" si="0"/>
        <v/>
      </c>
      <c r="Q11" s="4" t="s">
        <v>46</v>
      </c>
      <c r="R11" s="4" t="s">
        <v>46</v>
      </c>
      <c r="S11" s="4" t="s">
        <v>47</v>
      </c>
    </row>
    <row r="12" spans="1:19" ht="30" x14ac:dyDescent="0.5">
      <c r="A12" s="15">
        <v>8</v>
      </c>
      <c r="B12" s="6" t="s">
        <v>98</v>
      </c>
      <c r="C12" s="4" t="s">
        <v>146</v>
      </c>
      <c r="D12" s="4" t="s">
        <v>203</v>
      </c>
      <c r="E12" s="4" t="s">
        <v>46</v>
      </c>
      <c r="F12" s="10" t="s">
        <v>46</v>
      </c>
      <c r="G12" s="16" t="s">
        <v>46</v>
      </c>
      <c r="H12" s="10" t="s">
        <v>148</v>
      </c>
      <c r="I12" s="17" t="s">
        <v>46</v>
      </c>
      <c r="J12" s="18" t="s">
        <v>46</v>
      </c>
      <c r="K12" s="10" t="s">
        <v>131</v>
      </c>
      <c r="L12" s="19">
        <v>1</v>
      </c>
      <c r="M12" s="20" t="s">
        <v>46</v>
      </c>
      <c r="N12" s="18" t="s">
        <v>46</v>
      </c>
      <c r="O12" s="18" t="s">
        <v>46</v>
      </c>
      <c r="P12" s="21" t="str">
        <f t="shared" si="0"/>
        <v/>
      </c>
      <c r="Q12" s="4" t="s">
        <v>46</v>
      </c>
      <c r="R12" s="4" t="s">
        <v>46</v>
      </c>
      <c r="S12" s="4" t="s">
        <v>47</v>
      </c>
    </row>
    <row r="13" spans="1:19" s="40" customFormat="1" ht="63" customHeight="1" x14ac:dyDescent="0.45">
      <c r="A13" s="35" t="s">
        <v>151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7"/>
      <c r="P13" s="38">
        <f>SUMIFS($P$5:$P$12,$S$5:$S$12,"是 / Yes")</f>
        <v>28200</v>
      </c>
      <c r="Q13" s="66" t="s">
        <v>152</v>
      </c>
      <c r="R13" s="67"/>
      <c r="S13" s="68"/>
    </row>
  </sheetData>
  <mergeCells count="3">
    <mergeCell ref="A3:S3"/>
    <mergeCell ref="A1:S1"/>
    <mergeCell ref="Q13:S13"/>
  </mergeCells>
  <phoneticPr fontId="2" type="noConversion"/>
  <dataValidations disablePrompts="1" count="6">
    <dataValidation type="decimal" operator="greaterThanOrEqual" allowBlank="1" error="数量必须是数字" promptTitle="数量 / Qty" prompt="请输入数字；可填整数或小数" sqref="I5:I12" xr:uid="{00000000-0002-0000-0600-000002000000}">
      <formula1>0</formula1>
    </dataValidation>
    <dataValidation type="decimal" operator="greaterThanOrEqual" allowBlank="1" error="单价必须是数字" promptTitle="单价 / Unit Price" prompt="请输入数字；可填整数或小数" sqref="J5:J12" xr:uid="{00000000-0002-0000-0600-000003000000}">
      <formula1>0</formula1>
    </dataValidation>
    <dataValidation type="decimal" operator="greaterThanOrEqual" allowBlank="1" error="汇率必须是数字" promptTitle="汇率 / FX" prompt="请输入数字；可填整数或小数" sqref="L5:L12" xr:uid="{00000000-0002-0000-0600-000004000000}">
      <formula1>0</formula1>
    </dataValidation>
    <dataValidation type="decimal" operator="greaterThanOrEqual" allowBlank="1" error="税费率必须是数字" promptTitle="税费率 / Tax Rate" prompt="请输入数字；可填整数或小数" sqref="M5:M12" xr:uid="{00000000-0002-0000-0600-000005000000}">
      <formula1>0</formula1>
    </dataValidation>
    <dataValidation type="decimal" operator="greaterThanOrEqual" allowBlank="1" error="运费必须是数字" promptTitle="运费 / Freight" prompt="请输入数字；可填整数或小数" sqref="N5:N12" xr:uid="{00000000-0002-0000-0600-000006000000}">
      <formula1>0</formula1>
    </dataValidation>
    <dataValidation type="decimal" operator="greaterThanOrEqual" allowBlank="1" error="其他调整必须是数字" promptTitle="其他调整 / Other Adj." prompt="请输入数字；可填整数或小数" sqref="O5:O12" xr:uid="{00000000-0002-0000-0600-000007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error="请从下拉列表中选择子类" promptTitle="子类 / Subcategory" prompt="请选择子类" xr:uid="{00000000-0002-0000-0600-000000000000}">
          <x14:formula1>
            <xm:f>'99_下拉选项'!$F$1:$F$24</xm:f>
          </x14:formula1>
          <xm:sqref>C5:C12</xm:sqref>
        </x14:dataValidation>
        <x14:dataValidation type="list" allowBlank="1" error="请从下拉列表中选择币种" promptTitle="币种 / Currency" prompt="请选择币种" xr:uid="{00000000-0002-0000-0600-000001000000}">
          <x14:formula1>
            <xm:f>'99_下拉选项'!$B$1:$B$13</xm:f>
          </x14:formula1>
          <xm:sqref>K5:K12</xm:sqref>
        </x14:dataValidation>
        <x14:dataValidation type="list" allowBlank="1" showInputMessage="1" showErrorMessage="1" xr:uid="{13C88172-FF78-4196-8DD8-CE0E668DB809}">
          <x14:formula1>
            <xm:f>'99_下拉选项'!$A$1:$A$2</xm:f>
          </x14:formula1>
          <xm:sqref>S5:S12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3"/>
  <sheetViews>
    <sheetView showGridLines="0" zoomScale="85" zoomScaleNormal="85" workbookViewId="0">
      <selection activeCell="I26" sqref="I26"/>
    </sheetView>
  </sheetViews>
  <sheetFormatPr defaultColWidth="9.1328125" defaultRowHeight="15" x14ac:dyDescent="0.5"/>
  <cols>
    <col min="1" max="1" width="10.86328125" style="1" customWidth="1"/>
    <col min="2" max="2" width="21.86328125" style="1" customWidth="1"/>
    <col min="3" max="3" width="18.265625" style="1" customWidth="1"/>
    <col min="4" max="4" width="23" style="1" customWidth="1"/>
    <col min="5" max="5" width="14" style="1" customWidth="1"/>
    <col min="6" max="6" width="16" style="1" customWidth="1"/>
    <col min="7" max="7" width="20" style="1" customWidth="1"/>
    <col min="8" max="8" width="18" style="1" customWidth="1"/>
    <col min="9" max="9" width="10" style="1" customWidth="1"/>
    <col min="10" max="10" width="12" style="1" customWidth="1"/>
    <col min="11" max="11" width="12.86328125" style="1" customWidth="1"/>
    <col min="12" max="13" width="10" style="1" customWidth="1"/>
    <col min="14" max="15" width="12" style="1" customWidth="1"/>
    <col min="16" max="16" width="14" style="1" customWidth="1"/>
    <col min="17" max="17" width="18" style="1" customWidth="1"/>
    <col min="18" max="18" width="20" style="1" customWidth="1"/>
    <col min="19" max="19" width="19.265625" style="1" customWidth="1"/>
    <col min="20" max="16384" width="9.1328125" style="1"/>
  </cols>
  <sheetData>
    <row r="1" spans="1:19" ht="24" customHeight="1" x14ac:dyDescent="0.5">
      <c r="A1" s="54" t="s">
        <v>204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</row>
    <row r="3" spans="1:19" x14ac:dyDescent="0.5">
      <c r="A3" s="57" t="s">
        <v>108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</row>
    <row r="4" spans="1:19" s="2" customFormat="1" ht="60.75" customHeight="1" x14ac:dyDescent="0.5">
      <c r="A4" s="14" t="s">
        <v>83</v>
      </c>
      <c r="B4" s="14" t="s">
        <v>109</v>
      </c>
      <c r="C4" s="14" t="s">
        <v>110</v>
      </c>
      <c r="D4" s="14" t="s">
        <v>111</v>
      </c>
      <c r="E4" s="14" t="s">
        <v>112</v>
      </c>
      <c r="F4" s="14" t="s">
        <v>113</v>
      </c>
      <c r="G4" s="14" t="s">
        <v>114</v>
      </c>
      <c r="H4" s="14" t="s">
        <v>115</v>
      </c>
      <c r="I4" s="14" t="s">
        <v>116</v>
      </c>
      <c r="J4" s="14" t="s">
        <v>117</v>
      </c>
      <c r="K4" s="14" t="s">
        <v>118</v>
      </c>
      <c r="L4" s="14" t="s">
        <v>119</v>
      </c>
      <c r="M4" s="14" t="s">
        <v>120</v>
      </c>
      <c r="N4" s="14" t="s">
        <v>121</v>
      </c>
      <c r="O4" s="14" t="s">
        <v>122</v>
      </c>
      <c r="P4" s="14" t="s">
        <v>123</v>
      </c>
      <c r="Q4" s="14" t="s">
        <v>124</v>
      </c>
      <c r="R4" s="14" t="s">
        <v>60</v>
      </c>
      <c r="S4" s="14" t="s">
        <v>125</v>
      </c>
    </row>
    <row r="5" spans="1:19" ht="30" x14ac:dyDescent="0.5">
      <c r="A5" s="15">
        <v>1</v>
      </c>
      <c r="B5" s="6" t="s">
        <v>101</v>
      </c>
      <c r="C5" s="4" t="s">
        <v>205</v>
      </c>
      <c r="D5" s="4" t="s">
        <v>206</v>
      </c>
      <c r="E5" s="4"/>
      <c r="F5" s="10" t="s">
        <v>46</v>
      </c>
      <c r="G5" s="10" t="s">
        <v>46</v>
      </c>
      <c r="H5" s="10" t="s">
        <v>148</v>
      </c>
      <c r="I5" s="17">
        <v>3</v>
      </c>
      <c r="J5" s="18">
        <v>3600</v>
      </c>
      <c r="K5" s="10" t="s">
        <v>131</v>
      </c>
      <c r="L5" s="19">
        <v>1</v>
      </c>
      <c r="M5" s="20" t="s">
        <v>46</v>
      </c>
      <c r="N5" s="18" t="s">
        <v>46</v>
      </c>
      <c r="O5" s="18" t="s">
        <v>46</v>
      </c>
      <c r="P5" s="21">
        <f t="shared" ref="P5:P12" si="0">IF(OR(I5="",J5=""),"",I5*J5*IF(L5="",1,L5)*(1+IF(M5="",0,M5))+IF(N5="",0,N5)+IF(O5="",0,O5))</f>
        <v>10800</v>
      </c>
      <c r="Q5" s="4" t="s">
        <v>46</v>
      </c>
      <c r="R5" s="4" t="s">
        <v>46</v>
      </c>
      <c r="S5" s="4" t="s">
        <v>140</v>
      </c>
    </row>
    <row r="6" spans="1:19" ht="45" x14ac:dyDescent="0.5">
      <c r="A6" s="15">
        <v>2</v>
      </c>
      <c r="B6" s="6" t="s">
        <v>101</v>
      </c>
      <c r="C6" s="4" t="s">
        <v>205</v>
      </c>
      <c r="D6" s="4" t="s">
        <v>207</v>
      </c>
      <c r="E6" s="4"/>
      <c r="F6" s="10" t="s">
        <v>46</v>
      </c>
      <c r="G6" s="10" t="s">
        <v>46</v>
      </c>
      <c r="H6" s="10" t="s">
        <v>148</v>
      </c>
      <c r="I6" s="17" t="s">
        <v>46</v>
      </c>
      <c r="J6" s="18" t="s">
        <v>46</v>
      </c>
      <c r="K6" s="10" t="s">
        <v>131</v>
      </c>
      <c r="L6" s="19">
        <v>1</v>
      </c>
      <c r="M6" s="20" t="s">
        <v>46</v>
      </c>
      <c r="N6" s="18" t="s">
        <v>46</v>
      </c>
      <c r="O6" s="18" t="s">
        <v>46</v>
      </c>
      <c r="P6" s="21" t="str">
        <f t="shared" si="0"/>
        <v/>
      </c>
      <c r="Q6" s="4" t="s">
        <v>46</v>
      </c>
      <c r="R6" s="4" t="s">
        <v>46</v>
      </c>
      <c r="S6" s="4" t="s">
        <v>47</v>
      </c>
    </row>
    <row r="7" spans="1:19" ht="30" x14ac:dyDescent="0.5">
      <c r="A7" s="15">
        <v>3</v>
      </c>
      <c r="B7" s="6" t="s">
        <v>101</v>
      </c>
      <c r="C7" s="4" t="s">
        <v>208</v>
      </c>
      <c r="D7" s="4" t="s">
        <v>209</v>
      </c>
      <c r="E7" s="4"/>
      <c r="F7" s="10" t="s">
        <v>46</v>
      </c>
      <c r="G7" s="10" t="s">
        <v>46</v>
      </c>
      <c r="H7" s="10" t="s">
        <v>210</v>
      </c>
      <c r="I7" s="17">
        <v>10</v>
      </c>
      <c r="J7" s="18">
        <v>500</v>
      </c>
      <c r="K7" s="10" t="s">
        <v>131</v>
      </c>
      <c r="L7" s="19">
        <v>1</v>
      </c>
      <c r="M7" s="20" t="s">
        <v>46</v>
      </c>
      <c r="N7" s="18" t="s">
        <v>46</v>
      </c>
      <c r="O7" s="18" t="s">
        <v>46</v>
      </c>
      <c r="P7" s="21">
        <f t="shared" si="0"/>
        <v>5000</v>
      </c>
      <c r="Q7" s="4" t="s">
        <v>46</v>
      </c>
      <c r="R7" s="4" t="s">
        <v>211</v>
      </c>
      <c r="S7" s="4" t="s">
        <v>140</v>
      </c>
    </row>
    <row r="8" spans="1:19" ht="45" x14ac:dyDescent="0.5">
      <c r="A8" s="15">
        <v>4</v>
      </c>
      <c r="B8" s="6" t="s">
        <v>101</v>
      </c>
      <c r="C8" s="4" t="s">
        <v>212</v>
      </c>
      <c r="D8" s="4" t="s">
        <v>213</v>
      </c>
      <c r="E8" s="4"/>
      <c r="F8" s="10" t="s">
        <v>46</v>
      </c>
      <c r="G8" s="10" t="s">
        <v>46</v>
      </c>
      <c r="H8" s="10" t="s">
        <v>148</v>
      </c>
      <c r="I8" s="17" t="s">
        <v>46</v>
      </c>
      <c r="J8" s="18" t="s">
        <v>46</v>
      </c>
      <c r="K8" s="10" t="s">
        <v>131</v>
      </c>
      <c r="L8" s="19">
        <v>1</v>
      </c>
      <c r="M8" s="20" t="s">
        <v>46</v>
      </c>
      <c r="N8" s="18" t="s">
        <v>46</v>
      </c>
      <c r="O8" s="18" t="s">
        <v>46</v>
      </c>
      <c r="P8" s="21" t="str">
        <f t="shared" si="0"/>
        <v/>
      </c>
      <c r="Q8" s="4" t="s">
        <v>46</v>
      </c>
      <c r="R8" s="4" t="s">
        <v>46</v>
      </c>
      <c r="S8" s="4" t="s">
        <v>47</v>
      </c>
    </row>
    <row r="9" spans="1:19" ht="30" x14ac:dyDescent="0.5">
      <c r="A9" s="15">
        <v>5</v>
      </c>
      <c r="B9" s="6" t="s">
        <v>101</v>
      </c>
      <c r="C9" s="4" t="s">
        <v>208</v>
      </c>
      <c r="D9" s="4" t="s">
        <v>214</v>
      </c>
      <c r="E9" s="4"/>
      <c r="F9" s="10" t="s">
        <v>46</v>
      </c>
      <c r="G9" s="10" t="s">
        <v>46</v>
      </c>
      <c r="H9" s="10" t="s">
        <v>148</v>
      </c>
      <c r="I9" s="17" t="s">
        <v>46</v>
      </c>
      <c r="J9" s="18" t="s">
        <v>46</v>
      </c>
      <c r="K9" s="10" t="s">
        <v>131</v>
      </c>
      <c r="L9" s="19">
        <v>1</v>
      </c>
      <c r="M9" s="20" t="s">
        <v>46</v>
      </c>
      <c r="N9" s="18" t="s">
        <v>46</v>
      </c>
      <c r="O9" s="18" t="s">
        <v>46</v>
      </c>
      <c r="P9" s="21" t="str">
        <f t="shared" si="0"/>
        <v/>
      </c>
      <c r="Q9" s="4" t="s">
        <v>46</v>
      </c>
      <c r="R9" s="4" t="s">
        <v>46</v>
      </c>
      <c r="S9" s="4" t="s">
        <v>47</v>
      </c>
    </row>
    <row r="10" spans="1:19" ht="45" x14ac:dyDescent="0.5">
      <c r="A10" s="15">
        <v>6</v>
      </c>
      <c r="B10" s="6" t="s">
        <v>101</v>
      </c>
      <c r="C10" s="4" t="s">
        <v>215</v>
      </c>
      <c r="D10" s="4" t="s">
        <v>216</v>
      </c>
      <c r="E10" s="4"/>
      <c r="F10" s="10" t="s">
        <v>46</v>
      </c>
      <c r="G10" s="10" t="s">
        <v>46</v>
      </c>
      <c r="H10" s="10" t="s">
        <v>148</v>
      </c>
      <c r="I10" s="17" t="s">
        <v>46</v>
      </c>
      <c r="J10" s="18" t="s">
        <v>46</v>
      </c>
      <c r="K10" s="10" t="s">
        <v>131</v>
      </c>
      <c r="L10" s="19">
        <v>1</v>
      </c>
      <c r="M10" s="20" t="s">
        <v>46</v>
      </c>
      <c r="N10" s="18" t="s">
        <v>46</v>
      </c>
      <c r="O10" s="18" t="s">
        <v>46</v>
      </c>
      <c r="P10" s="21" t="str">
        <f t="shared" si="0"/>
        <v/>
      </c>
      <c r="Q10" s="4"/>
      <c r="R10" s="4" t="s">
        <v>46</v>
      </c>
      <c r="S10" s="4" t="s">
        <v>47</v>
      </c>
    </row>
    <row r="11" spans="1:19" ht="30" x14ac:dyDescent="0.5">
      <c r="A11" s="15">
        <v>7</v>
      </c>
      <c r="B11" s="6" t="s">
        <v>101</v>
      </c>
      <c r="C11" s="4" t="s">
        <v>217</v>
      </c>
      <c r="D11" s="4" t="s">
        <v>218</v>
      </c>
      <c r="E11" s="4"/>
      <c r="F11" s="10" t="s">
        <v>46</v>
      </c>
      <c r="G11" s="10" t="s">
        <v>46</v>
      </c>
      <c r="H11" s="10" t="s">
        <v>148</v>
      </c>
      <c r="I11" s="17" t="s">
        <v>46</v>
      </c>
      <c r="J11" s="18" t="s">
        <v>46</v>
      </c>
      <c r="K11" s="10" t="s">
        <v>131</v>
      </c>
      <c r="L11" s="19">
        <v>1</v>
      </c>
      <c r="M11" s="20" t="s">
        <v>46</v>
      </c>
      <c r="N11" s="18" t="s">
        <v>46</v>
      </c>
      <c r="O11" s="18" t="s">
        <v>46</v>
      </c>
      <c r="P11" s="21" t="str">
        <f t="shared" si="0"/>
        <v/>
      </c>
      <c r="Q11" s="4" t="s">
        <v>46</v>
      </c>
      <c r="R11" s="4" t="s">
        <v>46</v>
      </c>
      <c r="S11" s="4" t="s">
        <v>47</v>
      </c>
    </row>
    <row r="12" spans="1:19" ht="45" x14ac:dyDescent="0.5">
      <c r="A12" s="15">
        <v>8</v>
      </c>
      <c r="B12" s="6" t="s">
        <v>101</v>
      </c>
      <c r="C12" s="4" t="s">
        <v>217</v>
      </c>
      <c r="D12" s="4" t="s">
        <v>219</v>
      </c>
      <c r="E12" s="4"/>
      <c r="F12" s="10" t="s">
        <v>46</v>
      </c>
      <c r="G12" s="10" t="s">
        <v>46</v>
      </c>
      <c r="H12" s="10" t="s">
        <v>148</v>
      </c>
      <c r="I12" s="17" t="s">
        <v>46</v>
      </c>
      <c r="J12" s="18" t="s">
        <v>46</v>
      </c>
      <c r="K12" s="10" t="s">
        <v>131</v>
      </c>
      <c r="L12" s="19">
        <v>1</v>
      </c>
      <c r="M12" s="20" t="s">
        <v>46</v>
      </c>
      <c r="N12" s="18" t="s">
        <v>46</v>
      </c>
      <c r="O12" s="18" t="s">
        <v>46</v>
      </c>
      <c r="P12" s="21" t="str">
        <f t="shared" si="0"/>
        <v/>
      </c>
      <c r="Q12" s="4" t="s">
        <v>46</v>
      </c>
      <c r="R12" s="4" t="s">
        <v>46</v>
      </c>
      <c r="S12" s="4" t="s">
        <v>47</v>
      </c>
    </row>
    <row r="13" spans="1:19" s="40" customFormat="1" ht="65.25" customHeight="1" x14ac:dyDescent="0.45">
      <c r="A13" s="35" t="s">
        <v>151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7"/>
      <c r="P13" s="38">
        <f>SUMIFS($P$5:$P$12,$S$5:$S$12,"是 / Yes")</f>
        <v>15800</v>
      </c>
      <c r="Q13" s="66" t="s">
        <v>152</v>
      </c>
      <c r="R13" s="67"/>
      <c r="S13" s="68"/>
    </row>
  </sheetData>
  <mergeCells count="3">
    <mergeCell ref="A3:S3"/>
    <mergeCell ref="A1:S1"/>
    <mergeCell ref="Q13:S13"/>
  </mergeCells>
  <phoneticPr fontId="2" type="noConversion"/>
  <dataValidations count="6">
    <dataValidation type="decimal" operator="greaterThanOrEqual" allowBlank="1" error="数量必须是数字" promptTitle="数量 / Qty" prompt="请输入数字；可填整数或小数" sqref="I5:I12" xr:uid="{00000000-0002-0000-0700-000002000000}">
      <formula1>0</formula1>
    </dataValidation>
    <dataValidation type="decimal" operator="greaterThanOrEqual" allowBlank="1" error="单价必须是数字" promptTitle="单价 / Unit Price" prompt="请输入数字；可填整数或小数" sqref="J5:J12" xr:uid="{00000000-0002-0000-0700-000003000000}">
      <formula1>0</formula1>
    </dataValidation>
    <dataValidation type="decimal" operator="greaterThanOrEqual" allowBlank="1" error="汇率必须是数字" promptTitle="汇率 / FX" prompt="请输入数字；可填整数或小数" sqref="L5:L12" xr:uid="{00000000-0002-0000-0700-000004000000}">
      <formula1>0</formula1>
    </dataValidation>
    <dataValidation type="decimal" operator="greaterThanOrEqual" allowBlank="1" error="税费率必须是数字" promptTitle="税费率 / Tax Rate" prompt="请输入数字；可填整数或小数" sqref="M5:M12" xr:uid="{00000000-0002-0000-0700-000005000000}">
      <formula1>0</formula1>
    </dataValidation>
    <dataValidation type="decimal" operator="greaterThanOrEqual" allowBlank="1" error="运费必须是数字" promptTitle="运费 / Freight" prompt="请输入数字；可填整数或小数" sqref="N5:N12" xr:uid="{00000000-0002-0000-0700-000006000000}">
      <formula1>0</formula1>
    </dataValidation>
    <dataValidation type="decimal" operator="greaterThanOrEqual" allowBlank="1" error="其他调整必须是数字" promptTitle="其他调整 / Other Adj." prompt="请输入数字；可填整数或小数" sqref="O5:O12" xr:uid="{00000000-0002-0000-0700-000007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="请从下拉列表中选择子类" promptTitle="子类 / Subcategory" prompt="请选择子类" xr:uid="{00000000-0002-0000-0700-000000000000}">
          <x14:formula1>
            <xm:f>'99_下拉选项'!$F$1:$F$24</xm:f>
          </x14:formula1>
          <xm:sqref>C5:C12</xm:sqref>
        </x14:dataValidation>
        <x14:dataValidation type="list" allowBlank="1" error="请从下拉列表中选择币种" promptTitle="币种 / Currency" prompt="请选择币种" xr:uid="{00000000-0002-0000-0700-000001000000}">
          <x14:formula1>
            <xm:f>'99_下拉选项'!$B$1:$B$13</xm:f>
          </x14:formula1>
          <xm:sqref>K5:K12</xm:sqref>
        </x14:dataValidation>
        <x14:dataValidation type="list" allowBlank="1" showInputMessage="1" showErrorMessage="1" xr:uid="{F029C0F5-2D48-438A-9FEA-3F3783EC89DD}">
          <x14:formula1>
            <xm:f>'99_下拉选项'!$A$1:$A$2</xm:f>
          </x14:formula1>
          <xm:sqref>S5:S12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2"/>
  <sheetViews>
    <sheetView showGridLines="0" zoomScale="85" zoomScaleNormal="85" workbookViewId="0">
      <selection activeCell="E25" sqref="E25"/>
    </sheetView>
  </sheetViews>
  <sheetFormatPr defaultColWidth="9.1328125" defaultRowHeight="15" x14ac:dyDescent="0.5"/>
  <cols>
    <col min="1" max="1" width="10.59765625" style="1" customWidth="1"/>
    <col min="2" max="2" width="24.59765625" style="1" customWidth="1"/>
    <col min="3" max="3" width="20.86328125" style="1" customWidth="1"/>
    <col min="4" max="4" width="23.265625" style="1" customWidth="1"/>
    <col min="5" max="5" width="35.86328125" style="1" customWidth="1"/>
    <col min="6" max="6" width="18.59765625" style="1" customWidth="1"/>
    <col min="7" max="7" width="14.59765625" style="1" customWidth="1"/>
    <col min="8" max="8" width="15" style="1" customWidth="1"/>
    <col min="9" max="9" width="12.265625" style="1" customWidth="1"/>
    <col min="10" max="10" width="10" style="1" customWidth="1"/>
    <col min="11" max="11" width="14" style="1" customWidth="1"/>
    <col min="12" max="13" width="18" style="1" customWidth="1"/>
    <col min="14" max="14" width="15.3984375" style="1" customWidth="1"/>
    <col min="15" max="16384" width="9.1328125" style="1"/>
  </cols>
  <sheetData>
    <row r="1" spans="1:14" ht="24" customHeight="1" x14ac:dyDescent="0.5">
      <c r="A1" s="54" t="s">
        <v>220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3" spans="1:14" ht="36" customHeight="1" x14ac:dyDescent="0.5">
      <c r="A3" s="51" t="s">
        <v>221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</row>
    <row r="4" spans="1:14" s="2" customFormat="1" ht="48.75" customHeight="1" x14ac:dyDescent="0.5">
      <c r="A4" s="14" t="s">
        <v>83</v>
      </c>
      <c r="B4" s="14" t="s">
        <v>222</v>
      </c>
      <c r="C4" s="14" t="s">
        <v>110</v>
      </c>
      <c r="D4" s="14" t="s">
        <v>223</v>
      </c>
      <c r="E4" s="14" t="s">
        <v>224</v>
      </c>
      <c r="F4" s="14" t="s">
        <v>115</v>
      </c>
      <c r="G4" s="14" t="s">
        <v>225</v>
      </c>
      <c r="H4" s="14" t="s">
        <v>117</v>
      </c>
      <c r="I4" s="14" t="s">
        <v>118</v>
      </c>
      <c r="J4" s="14" t="s">
        <v>119</v>
      </c>
      <c r="K4" s="14" t="s">
        <v>226</v>
      </c>
      <c r="L4" s="14" t="s">
        <v>227</v>
      </c>
      <c r="M4" s="14" t="s">
        <v>60</v>
      </c>
      <c r="N4" s="14" t="s">
        <v>125</v>
      </c>
    </row>
    <row r="5" spans="1:14" ht="30" x14ac:dyDescent="0.5">
      <c r="A5" s="11">
        <v>1</v>
      </c>
      <c r="B5" s="4" t="s">
        <v>228</v>
      </c>
      <c r="C5" s="4" t="s">
        <v>229</v>
      </c>
      <c r="D5" s="4" t="s">
        <v>230</v>
      </c>
      <c r="E5" s="4" t="s">
        <v>231</v>
      </c>
      <c r="F5" s="10" t="s">
        <v>73</v>
      </c>
      <c r="G5" s="10">
        <v>1</v>
      </c>
      <c r="H5" s="18">
        <v>1000</v>
      </c>
      <c r="I5" s="10" t="s">
        <v>131</v>
      </c>
      <c r="J5" s="17">
        <v>1</v>
      </c>
      <c r="K5" s="21">
        <f t="shared" ref="K5:K11" si="0">IF(OR(G5="",H5=""),"",G5*H5*IF(J5="",1,J5))</f>
        <v>1000</v>
      </c>
      <c r="L5" s="16" t="s">
        <v>46</v>
      </c>
      <c r="M5" s="16" t="s">
        <v>46</v>
      </c>
      <c r="N5" s="10" t="s">
        <v>132</v>
      </c>
    </row>
    <row r="6" spans="1:14" ht="30" x14ac:dyDescent="0.5">
      <c r="A6" s="11">
        <v>2</v>
      </c>
      <c r="B6" s="4" t="s">
        <v>228</v>
      </c>
      <c r="C6" s="4" t="s">
        <v>232</v>
      </c>
      <c r="D6" s="4" t="s">
        <v>233</v>
      </c>
      <c r="E6" s="4" t="s">
        <v>231</v>
      </c>
      <c r="F6" s="10" t="s">
        <v>73</v>
      </c>
      <c r="G6" s="10">
        <v>1</v>
      </c>
      <c r="H6" s="18">
        <v>200</v>
      </c>
      <c r="I6" s="10" t="s">
        <v>131</v>
      </c>
      <c r="J6" s="17">
        <v>1</v>
      </c>
      <c r="K6" s="21">
        <f t="shared" si="0"/>
        <v>200</v>
      </c>
      <c r="L6" s="16" t="s">
        <v>46</v>
      </c>
      <c r="M6" s="16" t="s">
        <v>46</v>
      </c>
      <c r="N6" s="10" t="s">
        <v>140</v>
      </c>
    </row>
    <row r="7" spans="1:14" ht="30" x14ac:dyDescent="0.5">
      <c r="A7" s="11">
        <v>3</v>
      </c>
      <c r="B7" s="4" t="s">
        <v>228</v>
      </c>
      <c r="C7" s="4" t="s">
        <v>234</v>
      </c>
      <c r="D7" s="4" t="s">
        <v>235</v>
      </c>
      <c r="E7" s="4" t="s">
        <v>231</v>
      </c>
      <c r="F7" s="10" t="s">
        <v>73</v>
      </c>
      <c r="G7" s="10">
        <v>1</v>
      </c>
      <c r="H7" s="18">
        <v>3000</v>
      </c>
      <c r="I7" s="10" t="s">
        <v>131</v>
      </c>
      <c r="J7" s="17">
        <v>1</v>
      </c>
      <c r="K7" s="21">
        <f t="shared" si="0"/>
        <v>3000</v>
      </c>
      <c r="L7" s="16" t="s">
        <v>46</v>
      </c>
      <c r="M7" s="16" t="s">
        <v>46</v>
      </c>
      <c r="N7" s="10" t="s">
        <v>140</v>
      </c>
    </row>
    <row r="8" spans="1:14" ht="60" x14ac:dyDescent="0.5">
      <c r="A8" s="11">
        <v>4</v>
      </c>
      <c r="B8" s="4" t="s">
        <v>228</v>
      </c>
      <c r="C8" s="4" t="s">
        <v>236</v>
      </c>
      <c r="D8" s="4" t="s">
        <v>237</v>
      </c>
      <c r="E8" s="4" t="s">
        <v>238</v>
      </c>
      <c r="F8" s="10" t="s">
        <v>73</v>
      </c>
      <c r="G8" s="10">
        <v>1</v>
      </c>
      <c r="H8" s="22">
        <f>IF('10_柴油机维保参数'!E31="","",'10_柴油机维保参数'!E31)</f>
        <v>738.1</v>
      </c>
      <c r="I8" s="10" t="s">
        <v>131</v>
      </c>
      <c r="J8" s="19">
        <v>1</v>
      </c>
      <c r="K8" s="23">
        <f t="shared" si="0"/>
        <v>738.1</v>
      </c>
      <c r="L8" s="16" t="s">
        <v>239</v>
      </c>
      <c r="M8" s="16" t="s">
        <v>240</v>
      </c>
      <c r="N8" s="10" t="s">
        <v>140</v>
      </c>
    </row>
    <row r="9" spans="1:14" ht="45" x14ac:dyDescent="0.5">
      <c r="A9" s="11">
        <v>5</v>
      </c>
      <c r="B9" s="4" t="s">
        <v>228</v>
      </c>
      <c r="C9" s="4" t="s">
        <v>241</v>
      </c>
      <c r="D9" s="4" t="s">
        <v>242</v>
      </c>
      <c r="E9" s="4" t="s">
        <v>231</v>
      </c>
      <c r="F9" s="10" t="s">
        <v>73</v>
      </c>
      <c r="G9" s="10">
        <v>1</v>
      </c>
      <c r="H9" s="18"/>
      <c r="I9" s="10" t="s">
        <v>131</v>
      </c>
      <c r="J9" s="17">
        <v>1</v>
      </c>
      <c r="K9" s="21" t="str">
        <f t="shared" si="0"/>
        <v/>
      </c>
      <c r="L9" s="16" t="s">
        <v>46</v>
      </c>
      <c r="M9" s="16" t="s">
        <v>46</v>
      </c>
      <c r="N9" s="10" t="s">
        <v>47</v>
      </c>
    </row>
    <row r="10" spans="1:14" ht="30" x14ac:dyDescent="0.5">
      <c r="A10" s="11">
        <v>6</v>
      </c>
      <c r="B10" s="4" t="s">
        <v>228</v>
      </c>
      <c r="C10" s="4" t="s">
        <v>243</v>
      </c>
      <c r="D10" s="4" t="s">
        <v>244</v>
      </c>
      <c r="E10" s="4" t="s">
        <v>231</v>
      </c>
      <c r="F10" s="10" t="s">
        <v>73</v>
      </c>
      <c r="G10" s="10">
        <v>1</v>
      </c>
      <c r="H10" s="18" t="s">
        <v>46</v>
      </c>
      <c r="I10" s="10" t="s">
        <v>131</v>
      </c>
      <c r="J10" s="17">
        <v>1</v>
      </c>
      <c r="K10" s="21" t="str">
        <f t="shared" si="0"/>
        <v/>
      </c>
      <c r="L10" s="16" t="s">
        <v>46</v>
      </c>
      <c r="M10" s="16" t="s">
        <v>46</v>
      </c>
      <c r="N10" s="10" t="s">
        <v>47</v>
      </c>
    </row>
    <row r="11" spans="1:14" ht="30" x14ac:dyDescent="0.5">
      <c r="A11" s="11">
        <v>7</v>
      </c>
      <c r="B11" s="4" t="s">
        <v>228</v>
      </c>
      <c r="C11" s="4" t="s">
        <v>217</v>
      </c>
      <c r="D11" s="4" t="s">
        <v>245</v>
      </c>
      <c r="E11" s="4" t="s">
        <v>46</v>
      </c>
      <c r="F11" s="10" t="s">
        <v>73</v>
      </c>
      <c r="G11" s="10" t="s">
        <v>46</v>
      </c>
      <c r="H11" s="18" t="s">
        <v>46</v>
      </c>
      <c r="I11" s="10" t="s">
        <v>131</v>
      </c>
      <c r="J11" s="17">
        <v>1</v>
      </c>
      <c r="K11" s="21" t="str">
        <f t="shared" si="0"/>
        <v/>
      </c>
      <c r="L11" s="16" t="s">
        <v>46</v>
      </c>
      <c r="M11" s="16" t="s">
        <v>46</v>
      </c>
      <c r="N11" s="10" t="s">
        <v>47</v>
      </c>
    </row>
    <row r="12" spans="1:14" s="40" customFormat="1" ht="15.75" x14ac:dyDescent="0.45">
      <c r="A12" s="39" t="s">
        <v>246</v>
      </c>
      <c r="B12" s="36"/>
      <c r="C12" s="36"/>
      <c r="D12" s="36"/>
      <c r="E12" s="36"/>
      <c r="F12" s="36"/>
      <c r="G12" s="36"/>
      <c r="H12" s="36"/>
      <c r="I12" s="36"/>
      <c r="J12" s="37"/>
      <c r="K12" s="38">
        <f>SUMIFS(K5:K11,N5:N11,"是 / Yes")</f>
        <v>4938.1000000000004</v>
      </c>
      <c r="L12" s="39"/>
      <c r="M12" s="36"/>
      <c r="N12" s="37"/>
    </row>
  </sheetData>
  <mergeCells count="2">
    <mergeCell ref="A3:N3"/>
    <mergeCell ref="A1:N1"/>
  </mergeCells>
  <phoneticPr fontId="2" type="noConversion"/>
  <dataValidations count="3">
    <dataValidation type="decimal" operator="greaterThanOrEqual" allowBlank="1" error="数量/频次必须是数字" promptTitle="数量/频次 / Qty/Frequency" prompt="请输入数字；可填整数或小数" sqref="G5:G11" xr:uid="{00000000-0002-0000-0800-000001000000}">
      <formula1>0</formula1>
    </dataValidation>
    <dataValidation type="decimal" operator="greaterThanOrEqual" allowBlank="1" error="单价必须是数字" promptTitle="单价 / Unit Price" prompt="请输入数字；可填整数或小数" sqref="H5:H11" xr:uid="{00000000-0002-0000-0800-000002000000}">
      <formula1>0</formula1>
    </dataValidation>
    <dataValidation type="decimal" operator="greaterThanOrEqual" allowBlank="1" error="汇率必须是数字" promptTitle="汇率 / FX" prompt="请输入数字；通常 USD 为 1" sqref="J5:J11" xr:uid="{00000000-0002-0000-08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="请从下拉列表中选择币种" promptTitle="币种 / Currency" prompt="请选择币种" xr:uid="{00000000-0002-0000-0800-000000000000}">
          <x14:formula1>
            <xm:f>'99_下拉选项'!$B$1:$B$13</xm:f>
          </x14:formula1>
          <xm:sqref>I5:I11</xm:sqref>
        </x14:dataValidation>
        <x14:dataValidation type="list" allowBlank="1" showInputMessage="1" showErrorMessage="1" xr:uid="{12A7F8B1-F752-469F-A428-0EDEBA04209B}">
          <x14:formula1>
            <xm:f>'99_下拉选项'!$A$1:$A$2</xm:f>
          </x14:formula1>
          <xm:sqref>N5:N11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"/>
  <sheetViews>
    <sheetView showGridLines="0" workbookViewId="0">
      <selection activeCell="F22" sqref="F22:G22"/>
    </sheetView>
  </sheetViews>
  <sheetFormatPr defaultColWidth="9.1328125" defaultRowHeight="15" x14ac:dyDescent="0.5"/>
  <cols>
    <col min="1" max="1" width="11.1328125" style="1" customWidth="1"/>
    <col min="2" max="2" width="32.3984375" style="1" customWidth="1"/>
    <col min="3" max="3" width="31" style="1" customWidth="1"/>
    <col min="4" max="4" width="22" style="1" customWidth="1"/>
    <col min="5" max="5" width="21.73046875" style="1" customWidth="1"/>
    <col min="6" max="6" width="24" style="1" customWidth="1"/>
    <col min="7" max="7" width="30" style="1" customWidth="1"/>
    <col min="8" max="16384" width="9.1328125" style="1"/>
  </cols>
  <sheetData>
    <row r="1" spans="1:7" ht="24" customHeight="1" x14ac:dyDescent="0.5">
      <c r="A1" s="54" t="s">
        <v>247</v>
      </c>
      <c r="B1" s="55"/>
      <c r="C1" s="55"/>
      <c r="D1" s="55"/>
      <c r="E1" s="55"/>
      <c r="F1" s="55"/>
      <c r="G1" s="55"/>
    </row>
    <row r="3" spans="1:7" ht="36" customHeight="1" x14ac:dyDescent="0.5">
      <c r="A3" s="51" t="s">
        <v>248</v>
      </c>
      <c r="B3" s="52"/>
      <c r="C3" s="52"/>
      <c r="D3" s="52"/>
      <c r="E3" s="52"/>
      <c r="F3" s="52"/>
      <c r="G3" s="52"/>
    </row>
    <row r="4" spans="1:7" ht="20.100000000000001" customHeight="1" x14ac:dyDescent="0.5">
      <c r="A4" s="3" t="s">
        <v>83</v>
      </c>
      <c r="B4" s="3" t="s">
        <v>249</v>
      </c>
      <c r="C4" s="3" t="s">
        <v>250</v>
      </c>
      <c r="D4" s="3" t="s">
        <v>251</v>
      </c>
      <c r="E4" s="24" t="s">
        <v>252</v>
      </c>
      <c r="F4" s="3" t="s">
        <v>39</v>
      </c>
      <c r="G4" s="3" t="s">
        <v>253</v>
      </c>
    </row>
    <row r="5" spans="1:7" x14ac:dyDescent="0.5">
      <c r="A5" s="11">
        <v>1</v>
      </c>
      <c r="B5" s="5" t="s">
        <v>254</v>
      </c>
      <c r="C5" s="5" t="s">
        <v>255</v>
      </c>
      <c r="D5" s="5" t="s">
        <v>256</v>
      </c>
      <c r="E5" s="25">
        <v>0.95</v>
      </c>
      <c r="F5" s="26" t="s">
        <v>44</v>
      </c>
      <c r="G5" s="10" t="s">
        <v>257</v>
      </c>
    </row>
    <row r="6" spans="1:7" ht="30" x14ac:dyDescent="0.5">
      <c r="A6" s="11">
        <v>2</v>
      </c>
      <c r="B6" s="5" t="s">
        <v>254</v>
      </c>
      <c r="C6" s="5" t="s">
        <v>258</v>
      </c>
      <c r="D6" s="5" t="s">
        <v>256</v>
      </c>
      <c r="E6" s="25" t="s">
        <v>46</v>
      </c>
      <c r="F6" s="10" t="s">
        <v>68</v>
      </c>
      <c r="G6" s="10" t="s">
        <v>259</v>
      </c>
    </row>
    <row r="7" spans="1:7" ht="45" x14ac:dyDescent="0.5">
      <c r="A7" s="11">
        <v>3</v>
      </c>
      <c r="B7" s="5" t="s">
        <v>260</v>
      </c>
      <c r="C7" s="5" t="s">
        <v>261</v>
      </c>
      <c r="D7" s="5" t="s">
        <v>262</v>
      </c>
      <c r="E7" s="4">
        <v>500</v>
      </c>
      <c r="F7" s="10" t="s">
        <v>49</v>
      </c>
      <c r="G7" s="10" t="s">
        <v>263</v>
      </c>
    </row>
    <row r="8" spans="1:7" ht="30" x14ac:dyDescent="0.5">
      <c r="A8" s="11">
        <v>4</v>
      </c>
      <c r="B8" s="5" t="s">
        <v>260</v>
      </c>
      <c r="C8" s="5" t="s">
        <v>264</v>
      </c>
      <c r="D8" s="5" t="s">
        <v>265</v>
      </c>
      <c r="E8" s="4" t="s">
        <v>46</v>
      </c>
      <c r="F8" s="10" t="s">
        <v>68</v>
      </c>
      <c r="G8" s="10" t="s">
        <v>266</v>
      </c>
    </row>
    <row r="9" spans="1:7" ht="30" x14ac:dyDescent="0.5">
      <c r="A9" s="11">
        <v>5</v>
      </c>
      <c r="B9" s="5" t="s">
        <v>260</v>
      </c>
      <c r="C9" s="5" t="s">
        <v>267</v>
      </c>
      <c r="D9" s="5" t="s">
        <v>268</v>
      </c>
      <c r="E9" s="4" t="s">
        <v>46</v>
      </c>
      <c r="F9" s="10" t="s">
        <v>68</v>
      </c>
      <c r="G9" s="10" t="s">
        <v>269</v>
      </c>
    </row>
    <row r="10" spans="1:7" ht="30" x14ac:dyDescent="0.5">
      <c r="A10" s="11">
        <v>6</v>
      </c>
      <c r="B10" s="5" t="s">
        <v>260</v>
      </c>
      <c r="C10" s="5" t="s">
        <v>270</v>
      </c>
      <c r="D10" s="5" t="s">
        <v>265</v>
      </c>
      <c r="E10" s="4" t="s">
        <v>46</v>
      </c>
      <c r="F10" s="10" t="s">
        <v>68</v>
      </c>
      <c r="G10" s="10" t="s">
        <v>271</v>
      </c>
    </row>
  </sheetData>
  <mergeCells count="2">
    <mergeCell ref="A3:G3"/>
    <mergeCell ref="A1:G1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1"/>
  <sheetViews>
    <sheetView showGridLines="0" tabSelected="1" workbookViewId="0">
      <selection activeCell="F15" sqref="F15"/>
    </sheetView>
  </sheetViews>
  <sheetFormatPr defaultColWidth="9.1328125" defaultRowHeight="15" x14ac:dyDescent="0.5"/>
  <cols>
    <col min="1" max="1" width="11.59765625" style="1" customWidth="1"/>
    <col min="2" max="2" width="26.59765625" style="1" customWidth="1"/>
    <col min="3" max="3" width="18" style="1" customWidth="1"/>
    <col min="4" max="4" width="22" style="1" customWidth="1"/>
    <col min="5" max="5" width="21.86328125" style="1" customWidth="1"/>
    <col min="6" max="6" width="26.86328125" style="1" customWidth="1"/>
    <col min="7" max="7" width="34.73046875" style="1" customWidth="1"/>
    <col min="8" max="8" width="47.3984375" style="1" customWidth="1"/>
    <col min="9" max="16384" width="9.1328125" style="1"/>
  </cols>
  <sheetData>
    <row r="1" spans="1:8" ht="24" customHeight="1" x14ac:dyDescent="0.5">
      <c r="A1" s="54" t="s">
        <v>272</v>
      </c>
      <c r="B1" s="55"/>
      <c r="C1" s="55"/>
      <c r="D1" s="55"/>
      <c r="E1" s="55"/>
      <c r="F1" s="55"/>
      <c r="G1" s="55"/>
      <c r="H1" s="55"/>
    </row>
    <row r="3" spans="1:8" ht="36" customHeight="1" x14ac:dyDescent="0.5">
      <c r="A3" s="51" t="s">
        <v>273</v>
      </c>
      <c r="B3" s="52"/>
      <c r="C3" s="52"/>
      <c r="D3" s="52"/>
      <c r="E3" s="52"/>
      <c r="F3" s="52"/>
      <c r="G3" s="52"/>
      <c r="H3" s="52"/>
    </row>
    <row r="4" spans="1:8" ht="20.100000000000001" customHeight="1" x14ac:dyDescent="0.5">
      <c r="A4" s="3" t="s">
        <v>83</v>
      </c>
      <c r="B4" s="3" t="s">
        <v>250</v>
      </c>
      <c r="C4" s="3" t="s">
        <v>274</v>
      </c>
      <c r="D4" s="3" t="s">
        <v>251</v>
      </c>
      <c r="E4" s="3" t="s">
        <v>275</v>
      </c>
      <c r="F4" s="3" t="s">
        <v>39</v>
      </c>
      <c r="G4" s="3" t="s">
        <v>18</v>
      </c>
      <c r="H4" s="3" t="s">
        <v>276</v>
      </c>
    </row>
    <row r="5" spans="1:8" ht="30" x14ac:dyDescent="0.5">
      <c r="A5" s="11">
        <v>1</v>
      </c>
      <c r="B5" s="5" t="s">
        <v>277</v>
      </c>
      <c r="C5" s="5" t="s">
        <v>278</v>
      </c>
      <c r="D5" s="5" t="s">
        <v>279</v>
      </c>
      <c r="E5" s="27">
        <v>250</v>
      </c>
      <c r="F5" s="10" t="s">
        <v>49</v>
      </c>
      <c r="G5" s="9" t="s">
        <v>280</v>
      </c>
      <c r="H5" s="17" t="s">
        <v>46</v>
      </c>
    </row>
    <row r="6" spans="1:8" ht="30" x14ac:dyDescent="0.5">
      <c r="A6" s="11">
        <v>2</v>
      </c>
      <c r="B6" s="5" t="s">
        <v>281</v>
      </c>
      <c r="C6" s="5" t="s">
        <v>282</v>
      </c>
      <c r="D6" s="5" t="s">
        <v>279</v>
      </c>
      <c r="E6" s="27">
        <v>1.5</v>
      </c>
      <c r="F6" s="10" t="s">
        <v>49</v>
      </c>
      <c r="G6" s="9" t="s">
        <v>283</v>
      </c>
      <c r="H6" s="17" t="s">
        <v>46</v>
      </c>
    </row>
    <row r="7" spans="1:8" ht="30" x14ac:dyDescent="0.5">
      <c r="A7" s="11">
        <v>3</v>
      </c>
      <c r="B7" s="5" t="s">
        <v>284</v>
      </c>
      <c r="C7" s="5" t="s">
        <v>285</v>
      </c>
      <c r="D7" s="5" t="s">
        <v>286</v>
      </c>
      <c r="E7" s="27">
        <v>2.15</v>
      </c>
      <c r="F7" s="10" t="s">
        <v>49</v>
      </c>
      <c r="G7" s="9" t="s">
        <v>287</v>
      </c>
      <c r="H7" s="17" t="s">
        <v>46</v>
      </c>
    </row>
    <row r="8" spans="1:8" ht="30" x14ac:dyDescent="0.5">
      <c r="A8" s="11">
        <v>4</v>
      </c>
      <c r="B8" s="5" t="s">
        <v>288</v>
      </c>
      <c r="C8" s="5" t="s">
        <v>289</v>
      </c>
      <c r="D8" s="5" t="s">
        <v>290</v>
      </c>
      <c r="E8" s="28">
        <v>22</v>
      </c>
      <c r="F8" s="10" t="s">
        <v>49</v>
      </c>
      <c r="G8" s="9" t="s">
        <v>291</v>
      </c>
      <c r="H8" s="18" t="s">
        <v>46</v>
      </c>
    </row>
    <row r="9" spans="1:8" ht="30" x14ac:dyDescent="0.5">
      <c r="A9" s="11">
        <v>5</v>
      </c>
      <c r="B9" s="5" t="s">
        <v>292</v>
      </c>
      <c r="C9" s="5" t="s">
        <v>293</v>
      </c>
      <c r="D9" s="5" t="s">
        <v>131</v>
      </c>
      <c r="E9" s="28">
        <v>18</v>
      </c>
      <c r="F9" s="10" t="s">
        <v>49</v>
      </c>
      <c r="G9" s="9" t="s">
        <v>46</v>
      </c>
      <c r="H9" s="18" t="s">
        <v>46</v>
      </c>
    </row>
    <row r="10" spans="1:8" ht="30" x14ac:dyDescent="0.5">
      <c r="A10" s="11">
        <v>6</v>
      </c>
      <c r="B10" s="5" t="s">
        <v>294</v>
      </c>
      <c r="C10" s="5" t="s">
        <v>295</v>
      </c>
      <c r="D10" s="5" t="s">
        <v>131</v>
      </c>
      <c r="E10" s="28">
        <v>20</v>
      </c>
      <c r="F10" s="10" t="s">
        <v>49</v>
      </c>
      <c r="G10" s="9" t="s">
        <v>46</v>
      </c>
      <c r="H10" s="18" t="s">
        <v>46</v>
      </c>
    </row>
    <row r="11" spans="1:8" ht="30" x14ac:dyDescent="0.5">
      <c r="A11" s="11">
        <v>7</v>
      </c>
      <c r="B11" s="5" t="s">
        <v>296</v>
      </c>
      <c r="C11" s="5" t="s">
        <v>297</v>
      </c>
      <c r="D11" s="5" t="s">
        <v>131</v>
      </c>
      <c r="E11" s="28">
        <v>30</v>
      </c>
      <c r="F11" s="10" t="s">
        <v>49</v>
      </c>
      <c r="G11" s="9" t="s">
        <v>298</v>
      </c>
      <c r="H11" s="18" t="s">
        <v>46</v>
      </c>
    </row>
    <row r="12" spans="1:8" ht="30" x14ac:dyDescent="0.5">
      <c r="A12" s="11">
        <v>8</v>
      </c>
      <c r="B12" s="5" t="s">
        <v>299</v>
      </c>
      <c r="C12" s="5" t="s">
        <v>300</v>
      </c>
      <c r="D12" s="5" t="s">
        <v>301</v>
      </c>
      <c r="E12" s="28">
        <v>125</v>
      </c>
      <c r="F12" s="10" t="s">
        <v>49</v>
      </c>
      <c r="G12" s="9" t="s">
        <v>302</v>
      </c>
      <c r="H12" s="18" t="s">
        <v>46</v>
      </c>
    </row>
    <row r="13" spans="1:8" ht="30" x14ac:dyDescent="0.5">
      <c r="A13" s="11">
        <v>9</v>
      </c>
      <c r="B13" s="5" t="s">
        <v>303</v>
      </c>
      <c r="C13" s="5" t="s">
        <v>304</v>
      </c>
      <c r="D13" s="5" t="s">
        <v>279</v>
      </c>
      <c r="E13" s="27">
        <v>500</v>
      </c>
      <c r="F13" s="10" t="s">
        <v>305</v>
      </c>
      <c r="G13" s="9" t="s">
        <v>306</v>
      </c>
      <c r="H13" s="17" t="s">
        <v>46</v>
      </c>
    </row>
    <row r="14" spans="1:8" ht="30" x14ac:dyDescent="0.5">
      <c r="A14" s="11">
        <v>10</v>
      </c>
      <c r="B14" s="5" t="s">
        <v>307</v>
      </c>
      <c r="C14" s="5" t="s">
        <v>308</v>
      </c>
      <c r="D14" s="5" t="s">
        <v>73</v>
      </c>
      <c r="E14" s="27">
        <v>2</v>
      </c>
      <c r="F14" s="10" t="s">
        <v>68</v>
      </c>
      <c r="G14" s="9" t="s">
        <v>309</v>
      </c>
      <c r="H14" s="17" t="s">
        <v>46</v>
      </c>
    </row>
    <row r="15" spans="1:8" ht="30" x14ac:dyDescent="0.5">
      <c r="A15" s="11">
        <v>11</v>
      </c>
      <c r="B15" s="5" t="s">
        <v>310</v>
      </c>
      <c r="C15" s="5" t="s">
        <v>311</v>
      </c>
      <c r="D15" s="5" t="s">
        <v>286</v>
      </c>
      <c r="E15" s="27">
        <v>2</v>
      </c>
      <c r="F15" s="10" t="s">
        <v>68</v>
      </c>
      <c r="G15" s="9" t="s">
        <v>312</v>
      </c>
      <c r="H15" s="17" t="s">
        <v>46</v>
      </c>
    </row>
    <row r="16" spans="1:8" ht="30" x14ac:dyDescent="0.5">
      <c r="A16" s="11">
        <v>12</v>
      </c>
      <c r="B16" s="5" t="s">
        <v>313</v>
      </c>
      <c r="C16" s="5" t="s">
        <v>314</v>
      </c>
      <c r="D16" s="5" t="s">
        <v>290</v>
      </c>
      <c r="E16" s="28">
        <v>15</v>
      </c>
      <c r="F16" s="10" t="s">
        <v>68</v>
      </c>
      <c r="G16" s="9" t="s">
        <v>46</v>
      </c>
      <c r="H16" s="18" t="s">
        <v>46</v>
      </c>
    </row>
    <row r="17" spans="1:8" ht="30" x14ac:dyDescent="0.5">
      <c r="A17" s="11">
        <v>13</v>
      </c>
      <c r="B17" s="5" t="s">
        <v>315</v>
      </c>
      <c r="C17" s="5" t="s">
        <v>316</v>
      </c>
      <c r="D17" s="5" t="s">
        <v>279</v>
      </c>
      <c r="E17" s="27">
        <v>1</v>
      </c>
      <c r="F17" s="10" t="s">
        <v>68</v>
      </c>
      <c r="G17" s="9" t="s">
        <v>46</v>
      </c>
      <c r="H17" s="17" t="s">
        <v>46</v>
      </c>
    </row>
    <row r="18" spans="1:8" ht="30" x14ac:dyDescent="0.5">
      <c r="A18" s="11">
        <v>14</v>
      </c>
      <c r="B18" s="5" t="s">
        <v>317</v>
      </c>
      <c r="C18" s="5" t="s">
        <v>318</v>
      </c>
      <c r="D18" s="5" t="s">
        <v>73</v>
      </c>
      <c r="E18" s="27">
        <v>2</v>
      </c>
      <c r="F18" s="10" t="s">
        <v>68</v>
      </c>
      <c r="G18" s="9" t="s">
        <v>319</v>
      </c>
      <c r="H18" s="17" t="s">
        <v>46</v>
      </c>
    </row>
    <row r="19" spans="1:8" ht="30" x14ac:dyDescent="0.5">
      <c r="A19" s="11">
        <v>15</v>
      </c>
      <c r="B19" s="5" t="s">
        <v>320</v>
      </c>
      <c r="C19" s="5" t="s">
        <v>321</v>
      </c>
      <c r="D19" s="5" t="s">
        <v>131</v>
      </c>
      <c r="E19" s="28">
        <v>70</v>
      </c>
      <c r="F19" s="10" t="s">
        <v>68</v>
      </c>
      <c r="G19" s="9"/>
      <c r="H19" s="18" t="s">
        <v>46</v>
      </c>
    </row>
    <row r="20" spans="1:8" ht="30" x14ac:dyDescent="0.5">
      <c r="A20" s="11">
        <v>16</v>
      </c>
      <c r="B20" s="5" t="s">
        <v>322</v>
      </c>
      <c r="C20" s="5" t="s">
        <v>323</v>
      </c>
      <c r="D20" s="5" t="s">
        <v>279</v>
      </c>
      <c r="E20" s="27">
        <v>0.8</v>
      </c>
      <c r="F20" s="10" t="s">
        <v>68</v>
      </c>
      <c r="G20" s="9" t="s">
        <v>46</v>
      </c>
      <c r="H20" s="17" t="s">
        <v>46</v>
      </c>
    </row>
    <row r="23" spans="1:8" ht="20.25" x14ac:dyDescent="0.5">
      <c r="A23" s="54" t="s">
        <v>324</v>
      </c>
      <c r="B23" s="55"/>
      <c r="C23" s="55"/>
      <c r="D23" s="55"/>
      <c r="E23" s="55"/>
      <c r="F23" s="55"/>
      <c r="G23" s="55"/>
      <c r="H23" s="55"/>
    </row>
    <row r="24" spans="1:8" ht="15.75" x14ac:dyDescent="0.5">
      <c r="A24" s="50" t="s">
        <v>325</v>
      </c>
      <c r="B24" s="48"/>
      <c r="C24" s="48"/>
      <c r="D24" s="49"/>
      <c r="E24" s="50" t="s">
        <v>326</v>
      </c>
      <c r="F24" s="48"/>
      <c r="G24" s="48"/>
      <c r="H24" s="49"/>
    </row>
    <row r="25" spans="1:8" x14ac:dyDescent="0.5">
      <c r="A25" s="47" t="s">
        <v>327</v>
      </c>
      <c r="B25" s="48"/>
      <c r="C25" s="48"/>
      <c r="D25" s="49"/>
      <c r="E25" s="56">
        <f>IF('09_柴油与能源参数'!E7="","",'09_柴油与能源参数'!E7)</f>
        <v>500</v>
      </c>
      <c r="F25" s="48"/>
      <c r="G25" s="48"/>
      <c r="H25" s="49"/>
    </row>
    <row r="26" spans="1:8" x14ac:dyDescent="0.5">
      <c r="A26" s="47" t="s">
        <v>328</v>
      </c>
      <c r="B26" s="48"/>
      <c r="C26" s="48"/>
      <c r="D26" s="49"/>
      <c r="E26" s="56">
        <f>IF(E25="","",ROUNDUP(E25/IF($H$5&lt;&gt;"",$H$5,$E$5),0))</f>
        <v>2</v>
      </c>
      <c r="F26" s="48"/>
      <c r="G26" s="48"/>
      <c r="H26" s="49"/>
    </row>
    <row r="27" spans="1:8" x14ac:dyDescent="0.5">
      <c r="A27" s="47" t="s">
        <v>329</v>
      </c>
      <c r="B27" s="48"/>
      <c r="C27" s="48"/>
      <c r="D27" s="49"/>
      <c r="E27" s="53">
        <f>IF(E26="","",E26*((IF($H$6&lt;&gt;"",$H$6,$E$6)*IF($H$12&lt;&gt;"",$H$12,$E$12))+(IF($H$7&lt;&gt;"",$H$7,$E$7)*IF($H$8&lt;&gt;"",$H$8,$E$8))+IF($H$9&lt;&gt;"",$H$9,$E$9)+IF($H$10&lt;&gt;"",$H$10,$E$10)))</f>
        <v>545.6</v>
      </c>
      <c r="F27" s="48"/>
      <c r="G27" s="48"/>
      <c r="H27" s="49"/>
    </row>
    <row r="28" spans="1:8" x14ac:dyDescent="0.5">
      <c r="A28" s="47" t="s">
        <v>330</v>
      </c>
      <c r="B28" s="48"/>
      <c r="C28" s="48"/>
      <c r="D28" s="49"/>
      <c r="E28" s="53">
        <f>IF(E25="","",IF(IF($H$13&lt;&gt;"",$H$13,$E$13)="",ROUNDUP(E26/2,0)*IF($H$11&lt;&gt;"",$H$11,$E$11),ROUNDUP(E25/IF($H$13&lt;&gt;"",$H$13,$E$13),0)*IF($H$11&lt;&gt;"",$H$11,$E$11)))</f>
        <v>30</v>
      </c>
      <c r="F28" s="48"/>
      <c r="G28" s="48"/>
      <c r="H28" s="49"/>
    </row>
    <row r="29" spans="1:8" x14ac:dyDescent="0.5">
      <c r="A29" s="47" t="s">
        <v>331</v>
      </c>
      <c r="B29" s="48"/>
      <c r="C29" s="48"/>
      <c r="D29" s="49"/>
      <c r="E29" s="53">
        <f>IF(OR(IF($H$14&lt;&gt;"",$H$14,$E$14)="",IF($H$14&lt;&gt;"",$H$14,$E$14)&lt;=0),"",((IF($H$15&lt;&gt;"",$H$15,$E$15)*IF($H$16&lt;&gt;"",$H$16,$E$16))+(IF($H$17&lt;&gt;"",$H$17,$E$17)*IF($H$12&lt;&gt;"",$H$12,$E$12)))/IF($H$14&lt;&gt;"",$H$14,$E$14))</f>
        <v>77.5</v>
      </c>
      <c r="F29" s="48"/>
      <c r="G29" s="48"/>
      <c r="H29" s="49"/>
    </row>
    <row r="30" spans="1:8" x14ac:dyDescent="0.5">
      <c r="A30" s="47" t="s">
        <v>332</v>
      </c>
      <c r="B30" s="48"/>
      <c r="C30" s="48"/>
      <c r="D30" s="49"/>
      <c r="E30" s="53">
        <f>IF(OR(IF($H$18&lt;&gt;"",$H$18,$E$18)="",IF($H$18&lt;&gt;"",$H$18,$E$18)&lt;=0),"",(IF($H$19&lt;&gt;"",$H$19,$E$19)+(IF($H$20&lt;&gt;"",$H$20,$E$20)*IF($H$12&lt;&gt;"",$H$12,$E$12)))/IF($H$18&lt;&gt;"",$H$18,$E$18))</f>
        <v>85</v>
      </c>
      <c r="F30" s="48"/>
      <c r="G30" s="48"/>
      <c r="H30" s="49"/>
    </row>
    <row r="31" spans="1:8" x14ac:dyDescent="0.5">
      <c r="A31" s="47" t="s">
        <v>333</v>
      </c>
      <c r="B31" s="48"/>
      <c r="C31" s="48"/>
      <c r="D31" s="49"/>
      <c r="E31" s="53">
        <f>SUM(E27:E30)</f>
        <v>738.1</v>
      </c>
      <c r="F31" s="48"/>
      <c r="G31" s="48"/>
      <c r="H31" s="49"/>
    </row>
  </sheetData>
  <mergeCells count="19">
    <mergeCell ref="E25:H25"/>
    <mergeCell ref="A1:H1"/>
    <mergeCell ref="A28:D28"/>
    <mergeCell ref="A31:D31"/>
    <mergeCell ref="A30:D30"/>
    <mergeCell ref="A24:D24"/>
    <mergeCell ref="E24:H24"/>
    <mergeCell ref="A3:H3"/>
    <mergeCell ref="A25:D25"/>
    <mergeCell ref="E29:H29"/>
    <mergeCell ref="A23:H23"/>
    <mergeCell ref="E28:H28"/>
    <mergeCell ref="A27:D27"/>
    <mergeCell ref="E31:H31"/>
    <mergeCell ref="A26:D26"/>
    <mergeCell ref="E30:H30"/>
    <mergeCell ref="E27:H27"/>
    <mergeCell ref="E26:H26"/>
    <mergeCell ref="A29:D29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6"/>
  <sheetViews>
    <sheetView showGridLines="0" workbookViewId="0">
      <selection activeCell="D20" sqref="D20"/>
    </sheetView>
  </sheetViews>
  <sheetFormatPr defaultColWidth="9.1328125" defaultRowHeight="15" x14ac:dyDescent="0.5"/>
  <cols>
    <col min="1" max="1" width="33.73046875" style="1" customWidth="1"/>
    <col min="2" max="2" width="19.86328125" style="1" customWidth="1"/>
    <col min="3" max="3" width="20" style="1" customWidth="1"/>
    <col min="4" max="4" width="30.265625" style="1" customWidth="1"/>
    <col min="5" max="5" width="24" style="1" customWidth="1"/>
    <col min="6" max="6" width="17.265625" style="1" customWidth="1"/>
    <col min="7" max="16384" width="9.1328125" style="1"/>
  </cols>
  <sheetData>
    <row r="1" spans="1:6" ht="24" customHeight="1" x14ac:dyDescent="0.5">
      <c r="A1" s="54" t="s">
        <v>334</v>
      </c>
      <c r="B1" s="55"/>
      <c r="C1" s="55"/>
      <c r="D1" s="55"/>
      <c r="E1" s="55"/>
      <c r="F1" s="55"/>
    </row>
    <row r="3" spans="1:6" ht="15.75" x14ac:dyDescent="0.55000000000000004">
      <c r="A3" s="62" t="s">
        <v>335</v>
      </c>
      <c r="B3" s="52"/>
      <c r="C3" s="52"/>
      <c r="D3" s="52"/>
      <c r="E3" s="52"/>
      <c r="F3" s="52"/>
    </row>
    <row r="4" spans="1:6" s="2" customFormat="1" ht="46.5" customHeight="1" x14ac:dyDescent="0.5">
      <c r="A4" s="14" t="s">
        <v>42</v>
      </c>
      <c r="B4" s="14" t="s">
        <v>336</v>
      </c>
      <c r="C4" s="14" t="s">
        <v>55</v>
      </c>
      <c r="D4" s="14" t="s">
        <v>75</v>
      </c>
      <c r="E4" s="14" t="s">
        <v>56</v>
      </c>
      <c r="F4" s="14" t="s">
        <v>80</v>
      </c>
    </row>
    <row r="5" spans="1:6" x14ac:dyDescent="0.5">
      <c r="A5" s="29" t="str">
        <f>IF('01_项目基础信息'!B5="","",'01_项目基础信息'!B5)</f>
        <v>MGS微电网售前方案</v>
      </c>
      <c r="B5" s="29" t="str">
        <f>IF('01_项目基础信息'!B7="","",'01_项目基础信息'!B7)</f>
        <v>美国</v>
      </c>
      <c r="C5" s="29">
        <f>IF('01_项目基础信息'!B9="","",'01_项目基础信息'!B9)</f>
        <v>46094</v>
      </c>
      <c r="D5" s="29" t="str">
        <f>IF('01_项目基础信息'!B19="","",'01_项目基础信息'!B19)</f>
        <v>美元 / USD</v>
      </c>
      <c r="E5" s="29" t="str">
        <f>IF('01_项目基础信息'!B10="","",'01_项目基础信息'!B10)</f>
        <v>售前初算 / Early Estimate</v>
      </c>
      <c r="F5" s="29" t="str">
        <f>IF('01_项目基础信息'!B21="","",'01_项目基础信息'!B21)</f>
        <v/>
      </c>
    </row>
    <row r="8" spans="1:6" ht="15.75" x14ac:dyDescent="0.55000000000000004">
      <c r="A8" s="62" t="s">
        <v>337</v>
      </c>
      <c r="B8" s="52"/>
      <c r="C8" s="52"/>
      <c r="D8" s="52"/>
      <c r="E8" s="52"/>
      <c r="F8" s="52"/>
    </row>
    <row r="9" spans="1:6" ht="20.100000000000001" customHeight="1" x14ac:dyDescent="0.5">
      <c r="A9" s="3" t="s">
        <v>338</v>
      </c>
      <c r="B9" s="3" t="s">
        <v>326</v>
      </c>
      <c r="C9" s="3" t="s">
        <v>59</v>
      </c>
      <c r="D9" s="3" t="s">
        <v>339</v>
      </c>
      <c r="E9" s="3" t="s">
        <v>87</v>
      </c>
      <c r="F9" s="3" t="s">
        <v>88</v>
      </c>
    </row>
    <row r="10" spans="1:6" ht="30" x14ac:dyDescent="0.5">
      <c r="A10" s="42" t="s">
        <v>340</v>
      </c>
      <c r="B10" s="44">
        <f>IF('02_CAPEX汇总'!D11="","",'02_CAPEX汇总'!D11)</f>
        <v>268128.8</v>
      </c>
      <c r="C10" s="42" t="s">
        <v>131</v>
      </c>
      <c r="D10" s="43" t="s">
        <v>341</v>
      </c>
      <c r="E10" s="42" t="s">
        <v>342</v>
      </c>
      <c r="F10" s="42" t="s">
        <v>46</v>
      </c>
    </row>
    <row r="11" spans="1:6" ht="30" x14ac:dyDescent="0.5">
      <c r="A11" s="42" t="s">
        <v>343</v>
      </c>
      <c r="B11" s="44">
        <f>IF('08_年度成本_OPEX'!K12="","",'08_年度成本_OPEX'!K12)</f>
        <v>4938.1000000000004</v>
      </c>
      <c r="C11" s="42" t="s">
        <v>344</v>
      </c>
      <c r="D11" s="43" t="s">
        <v>345</v>
      </c>
      <c r="E11" s="42" t="s">
        <v>46</v>
      </c>
      <c r="F11" s="42" t="s">
        <v>46</v>
      </c>
    </row>
    <row r="12" spans="1:6" ht="30" x14ac:dyDescent="0.5">
      <c r="A12" s="42" t="s">
        <v>255</v>
      </c>
      <c r="B12" s="44">
        <f>IF('09_柴油与能源参数'!E5="","",'09_柴油与能源参数'!E5)</f>
        <v>0.95</v>
      </c>
      <c r="C12" s="42" t="s">
        <v>256</v>
      </c>
      <c r="D12" s="43" t="s">
        <v>346</v>
      </c>
      <c r="E12" s="42" t="s">
        <v>46</v>
      </c>
      <c r="F12" s="42" t="s">
        <v>46</v>
      </c>
    </row>
    <row r="13" spans="1:6" x14ac:dyDescent="0.5">
      <c r="A13" s="42" t="s">
        <v>61</v>
      </c>
      <c r="B13" s="45">
        <f>IF('01_项目基础信息'!B14="","",'01_项目基础信息'!B14)</f>
        <v>83.84</v>
      </c>
      <c r="C13" s="42" t="s">
        <v>62</v>
      </c>
      <c r="D13" s="43" t="s">
        <v>347</v>
      </c>
      <c r="E13" s="42" t="s">
        <v>46</v>
      </c>
      <c r="F13" s="42" t="s">
        <v>46</v>
      </c>
    </row>
    <row r="14" spans="1:6" x14ac:dyDescent="0.5">
      <c r="A14" s="42" t="s">
        <v>63</v>
      </c>
      <c r="B14" s="45">
        <f>IF('01_项目基础信息'!B15="","",'01_项目基础信息'!B15)</f>
        <v>257.27999999999997</v>
      </c>
      <c r="C14" s="42" t="s">
        <v>64</v>
      </c>
      <c r="D14" s="43" t="s">
        <v>347</v>
      </c>
      <c r="E14" s="42" t="s">
        <v>46</v>
      </c>
      <c r="F14" s="42" t="s">
        <v>46</v>
      </c>
    </row>
    <row r="15" spans="1:6" x14ac:dyDescent="0.5">
      <c r="A15" s="42" t="s">
        <v>66</v>
      </c>
      <c r="B15" s="45">
        <f>IF('01_项目基础信息'!B16="","",'01_项目基础信息'!B16)</f>
        <v>40</v>
      </c>
      <c r="C15" s="42" t="s">
        <v>67</v>
      </c>
      <c r="D15" s="43" t="s">
        <v>347</v>
      </c>
      <c r="E15" s="42" t="s">
        <v>46</v>
      </c>
      <c r="F15" s="42" t="s">
        <v>46</v>
      </c>
    </row>
    <row r="16" spans="1:6" ht="30" x14ac:dyDescent="0.5">
      <c r="A16" s="42" t="s">
        <v>348</v>
      </c>
      <c r="B16" s="45">
        <f>COUNTIF('03_光伏系统明细'!P5:P12,"&gt;0")+COUNTIF('04_储能系统明细'!P5:P13,"&gt;0")+COUNTIF('05_柴油机系统明细'!P5:P10,"&gt;0")+COUNTIF('06_电气配套明细'!P5:P12,"&gt;0")+COUNTIF('07_运输安装其他'!P5:P12,"&gt;0")</f>
        <v>12</v>
      </c>
      <c r="C16" s="42" t="s">
        <v>349</v>
      </c>
      <c r="D16" s="43" t="s">
        <v>350</v>
      </c>
      <c r="E16" s="42" t="s">
        <v>46</v>
      </c>
      <c r="F16" s="42" t="s">
        <v>46</v>
      </c>
    </row>
  </sheetData>
  <mergeCells count="3">
    <mergeCell ref="A3:F3"/>
    <mergeCell ref="A8:F8"/>
    <mergeCell ref="A1:F1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1"/>
  <sheetViews>
    <sheetView showGridLines="0" topLeftCell="A10" workbookViewId="0">
      <selection activeCell="I8" sqref="I8"/>
    </sheetView>
  </sheetViews>
  <sheetFormatPr defaultColWidth="9.1328125" defaultRowHeight="15" x14ac:dyDescent="0.5"/>
  <cols>
    <col min="1" max="1" width="10.1328125" style="1" customWidth="1"/>
    <col min="2" max="2" width="22" style="1" customWidth="1"/>
    <col min="3" max="3" width="40" style="1" customWidth="1"/>
    <col min="4" max="4" width="18" style="1" customWidth="1"/>
    <col min="5" max="5" width="60" style="1" customWidth="1"/>
    <col min="6" max="16384" width="9.1328125" style="1"/>
  </cols>
  <sheetData>
    <row r="1" spans="1:5" ht="37.5" customHeight="1" x14ac:dyDescent="0.5">
      <c r="A1" s="69" t="s">
        <v>351</v>
      </c>
      <c r="B1" s="70"/>
      <c r="C1" s="70"/>
      <c r="D1" s="70"/>
      <c r="E1" s="70"/>
    </row>
    <row r="2" spans="1:5" ht="37.15" x14ac:dyDescent="0.5">
      <c r="A2" s="30" t="s">
        <v>352</v>
      </c>
      <c r="B2" s="30" t="s">
        <v>353</v>
      </c>
      <c r="C2" s="30" t="s">
        <v>223</v>
      </c>
      <c r="D2" s="30" t="s">
        <v>354</v>
      </c>
      <c r="E2" s="30" t="s">
        <v>60</v>
      </c>
    </row>
    <row r="3" spans="1:5" ht="27.75" x14ac:dyDescent="0.5">
      <c r="A3" s="34">
        <v>1</v>
      </c>
      <c r="B3" s="31" t="s">
        <v>355</v>
      </c>
      <c r="C3" s="31" t="s">
        <v>356</v>
      </c>
      <c r="D3" s="32" t="s">
        <v>357</v>
      </c>
      <c r="E3" s="31" t="s">
        <v>358</v>
      </c>
    </row>
    <row r="4" spans="1:5" x14ac:dyDescent="0.5">
      <c r="A4" s="34">
        <v>2</v>
      </c>
      <c r="B4" s="31" t="s">
        <v>355</v>
      </c>
      <c r="C4" s="31" t="s">
        <v>359</v>
      </c>
      <c r="D4" s="32" t="s">
        <v>360</v>
      </c>
      <c r="E4" s="31" t="s">
        <v>361</v>
      </c>
    </row>
    <row r="5" spans="1:5" ht="27.75" x14ac:dyDescent="0.5">
      <c r="A5" s="34">
        <v>3</v>
      </c>
      <c r="B5" s="31" t="s">
        <v>355</v>
      </c>
      <c r="C5" s="31" t="s">
        <v>362</v>
      </c>
      <c r="D5" s="32" t="s">
        <v>363</v>
      </c>
      <c r="E5" s="31" t="s">
        <v>364</v>
      </c>
    </row>
    <row r="6" spans="1:5" x14ac:dyDescent="0.5">
      <c r="A6" s="34">
        <v>4</v>
      </c>
      <c r="B6" s="31" t="s">
        <v>355</v>
      </c>
      <c r="C6" s="31" t="s">
        <v>365</v>
      </c>
      <c r="D6" s="32">
        <v>45000</v>
      </c>
      <c r="E6" s="31"/>
    </row>
    <row r="7" spans="1:5" ht="27.75" x14ac:dyDescent="0.5">
      <c r="A7" s="34">
        <v>5</v>
      </c>
      <c r="B7" s="31" t="s">
        <v>355</v>
      </c>
      <c r="C7" s="31" t="s">
        <v>366</v>
      </c>
      <c r="D7" s="32" t="s">
        <v>367</v>
      </c>
      <c r="E7" s="31" t="s">
        <v>368</v>
      </c>
    </row>
    <row r="8" spans="1:5" ht="27.75" x14ac:dyDescent="0.5">
      <c r="A8" s="34">
        <v>6</v>
      </c>
      <c r="B8" s="31" t="s">
        <v>355</v>
      </c>
      <c r="C8" s="31" t="s">
        <v>369</v>
      </c>
      <c r="D8" s="32" t="s">
        <v>370</v>
      </c>
      <c r="E8" s="31" t="s">
        <v>371</v>
      </c>
    </row>
    <row r="9" spans="1:5" ht="41.65" x14ac:dyDescent="0.5">
      <c r="A9" s="34">
        <v>7</v>
      </c>
      <c r="B9" s="31" t="s">
        <v>355</v>
      </c>
      <c r="C9" s="31" t="s">
        <v>372</v>
      </c>
      <c r="D9" s="32" t="s">
        <v>373</v>
      </c>
      <c r="E9" s="31" t="s">
        <v>374</v>
      </c>
    </row>
    <row r="10" spans="1:5" ht="27.75" x14ac:dyDescent="0.5">
      <c r="A10" s="34">
        <v>8</v>
      </c>
      <c r="B10" s="31" t="s">
        <v>230</v>
      </c>
      <c r="C10" s="31" t="s">
        <v>375</v>
      </c>
      <c r="D10" s="32">
        <v>1000</v>
      </c>
      <c r="E10" s="31" t="s">
        <v>376</v>
      </c>
    </row>
    <row r="11" spans="1:5" ht="27.75" x14ac:dyDescent="0.5">
      <c r="A11" s="34">
        <v>9</v>
      </c>
      <c r="B11" s="31" t="s">
        <v>230</v>
      </c>
      <c r="C11" s="31" t="s">
        <v>377</v>
      </c>
      <c r="D11" s="32">
        <v>200</v>
      </c>
      <c r="E11" s="31" t="s">
        <v>376</v>
      </c>
    </row>
    <row r="12" spans="1:5" ht="27.75" x14ac:dyDescent="0.5">
      <c r="A12" s="34">
        <v>10</v>
      </c>
      <c r="B12" s="31" t="s">
        <v>230</v>
      </c>
      <c r="C12" s="31" t="s">
        <v>378</v>
      </c>
      <c r="D12" s="32">
        <v>3000</v>
      </c>
      <c r="E12" s="31" t="s">
        <v>379</v>
      </c>
    </row>
    <row r="13" spans="1:5" ht="27.75" x14ac:dyDescent="0.5">
      <c r="A13" s="34">
        <v>15</v>
      </c>
      <c r="B13" s="31" t="s">
        <v>380</v>
      </c>
      <c r="C13" s="31" t="s">
        <v>381</v>
      </c>
      <c r="D13" s="32">
        <v>0.95</v>
      </c>
      <c r="E13" s="31" t="s">
        <v>382</v>
      </c>
    </row>
    <row r="14" spans="1:5" ht="27.75" x14ac:dyDescent="0.5">
      <c r="A14" s="34">
        <v>24</v>
      </c>
      <c r="B14" s="31" t="s">
        <v>383</v>
      </c>
      <c r="C14" s="31" t="s">
        <v>384</v>
      </c>
      <c r="D14" s="32">
        <v>250</v>
      </c>
      <c r="E14" s="31" t="s">
        <v>385</v>
      </c>
    </row>
    <row r="15" spans="1:5" ht="27.75" x14ac:dyDescent="0.5">
      <c r="A15" s="34">
        <v>25</v>
      </c>
      <c r="B15" s="31" t="s">
        <v>383</v>
      </c>
      <c r="C15" s="31" t="s">
        <v>386</v>
      </c>
      <c r="D15" s="32">
        <v>1.5</v>
      </c>
      <c r="E15" s="31" t="s">
        <v>387</v>
      </c>
    </row>
    <row r="16" spans="1:5" ht="27.75" x14ac:dyDescent="0.5">
      <c r="A16" s="34">
        <v>26</v>
      </c>
      <c r="B16" s="31" t="s">
        <v>383</v>
      </c>
      <c r="C16" s="31" t="s">
        <v>388</v>
      </c>
      <c r="D16" s="32">
        <v>2.15</v>
      </c>
      <c r="E16" s="31" t="s">
        <v>389</v>
      </c>
    </row>
    <row r="17" spans="1:5" ht="27.75" x14ac:dyDescent="0.5">
      <c r="A17" s="34">
        <v>27</v>
      </c>
      <c r="B17" s="31" t="s">
        <v>383</v>
      </c>
      <c r="C17" s="31" t="s">
        <v>390</v>
      </c>
      <c r="D17" s="32">
        <v>22</v>
      </c>
      <c r="E17" s="31" t="s">
        <v>391</v>
      </c>
    </row>
    <row r="18" spans="1:5" ht="27.75" x14ac:dyDescent="0.5">
      <c r="A18" s="34">
        <v>28</v>
      </c>
      <c r="B18" s="31" t="s">
        <v>383</v>
      </c>
      <c r="C18" s="31" t="s">
        <v>392</v>
      </c>
      <c r="D18" s="32">
        <v>18</v>
      </c>
      <c r="E18" s="31" t="s">
        <v>393</v>
      </c>
    </row>
    <row r="19" spans="1:5" ht="27.75" x14ac:dyDescent="0.5">
      <c r="A19" s="34">
        <v>29</v>
      </c>
      <c r="B19" s="31" t="s">
        <v>383</v>
      </c>
      <c r="C19" s="31" t="s">
        <v>394</v>
      </c>
      <c r="D19" s="32">
        <v>20</v>
      </c>
      <c r="E19" s="31" t="s">
        <v>395</v>
      </c>
    </row>
    <row r="20" spans="1:5" ht="27.75" x14ac:dyDescent="0.5">
      <c r="A20" s="34">
        <v>30</v>
      </c>
      <c r="B20" s="31" t="s">
        <v>383</v>
      </c>
      <c r="C20" s="31" t="s">
        <v>396</v>
      </c>
      <c r="D20" s="32">
        <v>30</v>
      </c>
      <c r="E20" s="31" t="s">
        <v>397</v>
      </c>
    </row>
    <row r="21" spans="1:5" ht="27.75" x14ac:dyDescent="0.5">
      <c r="A21" s="34">
        <v>31</v>
      </c>
      <c r="B21" s="31" t="s">
        <v>383</v>
      </c>
      <c r="C21" s="31" t="s">
        <v>398</v>
      </c>
      <c r="D21" s="32">
        <v>125</v>
      </c>
      <c r="E21" s="31" t="s">
        <v>399</v>
      </c>
    </row>
    <row r="22" spans="1:5" ht="27.75" x14ac:dyDescent="0.5">
      <c r="A22" s="34">
        <v>32</v>
      </c>
      <c r="B22" s="31" t="s">
        <v>383</v>
      </c>
      <c r="C22" s="31" t="s">
        <v>400</v>
      </c>
      <c r="D22" s="32">
        <v>500</v>
      </c>
      <c r="E22" s="31" t="s">
        <v>401</v>
      </c>
    </row>
    <row r="23" spans="1:5" ht="27.75" x14ac:dyDescent="0.5">
      <c r="A23" s="34">
        <v>33</v>
      </c>
      <c r="B23" s="31" t="s">
        <v>383</v>
      </c>
      <c r="C23" s="31" t="s">
        <v>402</v>
      </c>
      <c r="D23" s="32">
        <v>2</v>
      </c>
      <c r="E23" s="31" t="s">
        <v>403</v>
      </c>
    </row>
    <row r="24" spans="1:5" ht="27.75" x14ac:dyDescent="0.5">
      <c r="A24" s="34">
        <v>34</v>
      </c>
      <c r="B24" s="31" t="s">
        <v>383</v>
      </c>
      <c r="C24" s="31" t="s">
        <v>404</v>
      </c>
      <c r="D24" s="32">
        <v>2</v>
      </c>
      <c r="E24" s="31" t="s">
        <v>405</v>
      </c>
    </row>
    <row r="25" spans="1:5" ht="27.75" x14ac:dyDescent="0.5">
      <c r="A25" s="34">
        <v>35</v>
      </c>
      <c r="B25" s="31" t="s">
        <v>383</v>
      </c>
      <c r="C25" s="31" t="s">
        <v>406</v>
      </c>
      <c r="D25" s="32">
        <v>33</v>
      </c>
      <c r="E25" s="31" t="s">
        <v>407</v>
      </c>
    </row>
    <row r="26" spans="1:5" ht="27.75" x14ac:dyDescent="0.5">
      <c r="A26" s="34">
        <v>36</v>
      </c>
      <c r="B26" s="31" t="s">
        <v>383</v>
      </c>
      <c r="C26" s="31" t="s">
        <v>408</v>
      </c>
      <c r="D26" s="32">
        <v>1</v>
      </c>
      <c r="E26" s="31" t="s">
        <v>409</v>
      </c>
    </row>
    <row r="27" spans="1:5" ht="27.75" x14ac:dyDescent="0.5">
      <c r="A27" s="34">
        <v>37</v>
      </c>
      <c r="B27" s="31" t="s">
        <v>383</v>
      </c>
      <c r="C27" s="31" t="s">
        <v>410</v>
      </c>
      <c r="D27" s="32">
        <v>4</v>
      </c>
      <c r="E27" s="31" t="s">
        <v>411</v>
      </c>
    </row>
    <row r="28" spans="1:5" ht="27.75" x14ac:dyDescent="0.5">
      <c r="A28" s="34">
        <v>38</v>
      </c>
      <c r="B28" s="31" t="s">
        <v>383</v>
      </c>
      <c r="C28" s="31" t="s">
        <v>412</v>
      </c>
      <c r="D28" s="32">
        <v>180</v>
      </c>
      <c r="E28" s="31" t="s">
        <v>413</v>
      </c>
    </row>
    <row r="29" spans="1:5" ht="27.75" x14ac:dyDescent="0.5">
      <c r="A29" s="34">
        <v>39</v>
      </c>
      <c r="B29" s="31" t="s">
        <v>383</v>
      </c>
      <c r="C29" s="31" t="s">
        <v>414</v>
      </c>
      <c r="D29" s="32">
        <v>0.5</v>
      </c>
      <c r="E29" s="31" t="s">
        <v>415</v>
      </c>
    </row>
    <row r="31" spans="1:5" x14ac:dyDescent="0.5">
      <c r="A31" s="33" t="s">
        <v>416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4"/>
  <sheetViews>
    <sheetView workbookViewId="0">
      <selection activeCell="D24" sqref="D24"/>
    </sheetView>
  </sheetViews>
  <sheetFormatPr defaultColWidth="9.1328125" defaultRowHeight="15" x14ac:dyDescent="0.5"/>
  <cols>
    <col min="1" max="1" width="15.265625" style="1" customWidth="1"/>
    <col min="2" max="2" width="19.3984375" style="1" customWidth="1"/>
    <col min="3" max="3" width="38" style="1" customWidth="1"/>
    <col min="4" max="4" width="27.73046875" style="1" customWidth="1"/>
    <col min="5" max="5" width="41.59765625" style="1" customWidth="1"/>
    <col min="6" max="6" width="46.73046875" style="1" customWidth="1"/>
    <col min="7" max="16384" width="9.1328125" style="1"/>
  </cols>
  <sheetData>
    <row r="1" spans="1:6" x14ac:dyDescent="0.5">
      <c r="A1" s="1" t="s">
        <v>140</v>
      </c>
      <c r="B1" s="1" t="s">
        <v>131</v>
      </c>
      <c r="C1" s="1" t="s">
        <v>57</v>
      </c>
      <c r="D1" s="1" t="s">
        <v>44</v>
      </c>
      <c r="E1" s="1" t="s">
        <v>89</v>
      </c>
      <c r="F1" s="1" t="s">
        <v>126</v>
      </c>
    </row>
    <row r="2" spans="1:6" x14ac:dyDescent="0.5">
      <c r="A2" s="1" t="s">
        <v>47</v>
      </c>
      <c r="B2" s="1" t="s">
        <v>417</v>
      </c>
      <c r="C2" s="1" t="s">
        <v>418</v>
      </c>
      <c r="D2" s="1" t="s">
        <v>49</v>
      </c>
      <c r="E2" s="1" t="s">
        <v>92</v>
      </c>
      <c r="F2" s="1" t="s">
        <v>134</v>
      </c>
    </row>
    <row r="3" spans="1:6" x14ac:dyDescent="0.5">
      <c r="B3" s="1" t="s">
        <v>419</v>
      </c>
      <c r="C3" s="1" t="s">
        <v>420</v>
      </c>
      <c r="D3" s="1" t="s">
        <v>68</v>
      </c>
      <c r="E3" s="1" t="s">
        <v>95</v>
      </c>
      <c r="F3" s="1" t="s">
        <v>142</v>
      </c>
    </row>
    <row r="4" spans="1:6" x14ac:dyDescent="0.5">
      <c r="B4" s="1" t="s">
        <v>421</v>
      </c>
      <c r="C4" s="1" t="s">
        <v>422</v>
      </c>
      <c r="E4" s="1" t="s">
        <v>98</v>
      </c>
      <c r="F4" s="1" t="s">
        <v>423</v>
      </c>
    </row>
    <row r="5" spans="1:6" x14ac:dyDescent="0.5">
      <c r="B5" s="1" t="s">
        <v>424</v>
      </c>
      <c r="C5" s="1" t="s">
        <v>425</v>
      </c>
      <c r="E5" s="1" t="s">
        <v>101</v>
      </c>
      <c r="F5" s="1" t="s">
        <v>146</v>
      </c>
    </row>
    <row r="6" spans="1:6" ht="15.75" customHeight="1" x14ac:dyDescent="0.5">
      <c r="B6" s="1" t="s">
        <v>426</v>
      </c>
      <c r="E6" s="1" t="s">
        <v>427</v>
      </c>
      <c r="F6" s="1" t="s">
        <v>155</v>
      </c>
    </row>
    <row r="7" spans="1:6" ht="15.75" customHeight="1" x14ac:dyDescent="0.5">
      <c r="F7" s="1" t="s">
        <v>428</v>
      </c>
    </row>
    <row r="8" spans="1:6" x14ac:dyDescent="0.5">
      <c r="F8" s="1" t="s">
        <v>158</v>
      </c>
    </row>
    <row r="9" spans="1:6" x14ac:dyDescent="0.5">
      <c r="F9" s="1" t="s">
        <v>166</v>
      </c>
    </row>
    <row r="10" spans="1:6" x14ac:dyDescent="0.5">
      <c r="F10" s="1" t="s">
        <v>168</v>
      </c>
    </row>
    <row r="11" spans="1:6" x14ac:dyDescent="0.5">
      <c r="F11" s="1" t="s">
        <v>171</v>
      </c>
    </row>
    <row r="12" spans="1:6" x14ac:dyDescent="0.5">
      <c r="F12" s="1" t="s">
        <v>178</v>
      </c>
    </row>
    <row r="13" spans="1:6" x14ac:dyDescent="0.5">
      <c r="F13" s="1" t="s">
        <v>181</v>
      </c>
    </row>
    <row r="14" spans="1:6" x14ac:dyDescent="0.5">
      <c r="F14" s="1" t="s">
        <v>190</v>
      </c>
    </row>
    <row r="15" spans="1:6" x14ac:dyDescent="0.5">
      <c r="F15" s="1" t="s">
        <v>188</v>
      </c>
    </row>
    <row r="16" spans="1:6" x14ac:dyDescent="0.5">
      <c r="F16" s="1" t="s">
        <v>191</v>
      </c>
    </row>
    <row r="17" spans="6:6" x14ac:dyDescent="0.5">
      <c r="F17" s="1" t="s">
        <v>195</v>
      </c>
    </row>
    <row r="18" spans="6:6" x14ac:dyDescent="0.5">
      <c r="F18" s="1" t="s">
        <v>200</v>
      </c>
    </row>
    <row r="19" spans="6:6" x14ac:dyDescent="0.5">
      <c r="F19" s="1" t="s">
        <v>198</v>
      </c>
    </row>
    <row r="20" spans="6:6" x14ac:dyDescent="0.5">
      <c r="F20" s="1" t="s">
        <v>208</v>
      </c>
    </row>
    <row r="21" spans="6:6" x14ac:dyDescent="0.5">
      <c r="F21" s="1" t="s">
        <v>212</v>
      </c>
    </row>
    <row r="22" spans="6:6" x14ac:dyDescent="0.5">
      <c r="F22" s="1" t="s">
        <v>205</v>
      </c>
    </row>
    <row r="23" spans="6:6" x14ac:dyDescent="0.5">
      <c r="F23" s="1" t="s">
        <v>429</v>
      </c>
    </row>
    <row r="24" spans="6:6" x14ac:dyDescent="0.5">
      <c r="F24" s="1" t="s">
        <v>217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00_填写说明</vt:lpstr>
      <vt:lpstr>01_项目基础信息</vt:lpstr>
      <vt:lpstr>02_CAPEX汇总</vt:lpstr>
      <vt:lpstr>03_光伏系统明细</vt:lpstr>
      <vt:lpstr>04_储能系统明细</vt:lpstr>
      <vt:lpstr>05_柴油机系统明细</vt:lpstr>
      <vt:lpstr>06_电气配套明细</vt:lpstr>
      <vt:lpstr>07_运输安装其他</vt:lpstr>
      <vt:lpstr>08_年度成本_OPEX</vt:lpstr>
      <vt:lpstr>09_柴油与能源参数</vt:lpstr>
      <vt:lpstr>10_柴油机维保参数</vt:lpstr>
      <vt:lpstr>11_汇总看板</vt:lpstr>
      <vt:lpstr>12_历史项目参考</vt:lpstr>
      <vt:lpstr>99_下拉选项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Xiaojing Lu</dc:creator>
  <cp:keywords/>
  <dc:description/>
  <cp:lastModifiedBy>Shengkai Pan</cp:lastModifiedBy>
  <cp:revision/>
  <dcterms:created xsi:type="dcterms:W3CDTF">2026-03-12T08:28:45Z</dcterms:created>
  <dcterms:modified xsi:type="dcterms:W3CDTF">2026-03-30T07:03:52Z</dcterms:modified>
  <cp:category/>
  <cp:contentStatus/>
</cp:coreProperties>
</file>